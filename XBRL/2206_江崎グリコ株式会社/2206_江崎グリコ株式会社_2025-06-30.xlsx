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d.docs.live.net/a64792750d980fdc/PC/開発/test/Python/XBRL/2206_江崎グリコ株式会社/"/>
    </mc:Choice>
  </mc:AlternateContent>
  <xr:revisionPtr revIDLastSave="255" documentId="11_E3F8BB2D1F43A7463F7480EE0D6039CCA0BA3BB4" xr6:coauthVersionLast="47" xr6:coauthVersionMax="47" xr10:uidLastSave="{118565D5-3C17-4B07-A074-220C1E57EA47}"/>
  <bookViews>
    <workbookView xWindow="-120" yWindow="-120" windowWidth="29040" windowHeight="15720" activeTab="3" xr2:uid="{00000000-000D-0000-FFFF-FFFF00000000}"/>
  </bookViews>
  <sheets>
    <sheet name="決算入力" sheetId="1" r:id="rId1"/>
    <sheet name="決算分析" sheetId="2" r:id="rId2"/>
    <sheet name="メモ" sheetId="3" r:id="rId3"/>
    <sheet name="決算入力 (2)" sheetId="4" r:id="rId4"/>
    <sheet name="Sheet2" sheetId="5"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4" l="1"/>
  <c r="D53" i="4"/>
  <c r="P52" i="4"/>
  <c r="M52" i="4"/>
  <c r="Q49" i="4"/>
  <c r="N49" i="4"/>
  <c r="K49" i="4"/>
  <c r="H49" i="4"/>
  <c r="E49" i="4"/>
  <c r="D49" i="4"/>
  <c r="O46" i="4"/>
  <c r="L46" i="4"/>
  <c r="I46" i="4"/>
  <c r="J52" i="4" s="1"/>
  <c r="F46" i="4"/>
  <c r="G52" i="4" s="1"/>
  <c r="P45" i="4"/>
  <c r="O52" i="4" s="1"/>
  <c r="O45" i="4"/>
  <c r="N45" i="4"/>
  <c r="M45" i="4"/>
  <c r="L52" i="4" s="1"/>
  <c r="L45" i="4"/>
  <c r="J45" i="4"/>
  <c r="I45" i="4"/>
  <c r="H45" i="4"/>
  <c r="G45" i="4"/>
  <c r="F52" i="4" s="1"/>
  <c r="F45" i="4"/>
  <c r="C45" i="4"/>
  <c r="Q44" i="4"/>
  <c r="N44" i="4"/>
  <c r="K44" i="4"/>
  <c r="H44" i="4"/>
  <c r="D44" i="4"/>
  <c r="C44" i="4"/>
  <c r="E44" i="4" s="1"/>
  <c r="P41" i="4"/>
  <c r="Q41" i="4" s="1"/>
  <c r="M41" i="4"/>
  <c r="N41" i="4" s="1"/>
  <c r="J41" i="4"/>
  <c r="K41" i="4" s="1"/>
  <c r="G41" i="4"/>
  <c r="H41" i="4" s="1"/>
  <c r="Q40" i="4"/>
  <c r="D40" i="4"/>
  <c r="D41" i="4" s="1"/>
  <c r="E41" i="4" s="1"/>
  <c r="Q38" i="4"/>
  <c r="N38" i="4"/>
  <c r="K38" i="4"/>
  <c r="I38" i="4"/>
  <c r="H38" i="4"/>
  <c r="F38" i="4"/>
  <c r="Q37" i="4"/>
  <c r="N37" i="4"/>
  <c r="K37" i="4"/>
  <c r="I37" i="4"/>
  <c r="H37" i="4"/>
  <c r="F37" i="4"/>
  <c r="Q36" i="4"/>
  <c r="N36" i="4"/>
  <c r="K36" i="4"/>
  <c r="I36" i="4"/>
  <c r="H36" i="4"/>
  <c r="F36" i="4"/>
  <c r="Q32" i="4"/>
  <c r="N32" i="4"/>
  <c r="K32" i="4"/>
  <c r="H32" i="4"/>
  <c r="E32" i="4"/>
  <c r="Q31" i="4"/>
  <c r="N31" i="4"/>
  <c r="K31" i="4"/>
  <c r="H31" i="4"/>
  <c r="E31" i="4"/>
  <c r="Q30" i="4"/>
  <c r="N30" i="4"/>
  <c r="K30" i="4"/>
  <c r="H30" i="4"/>
  <c r="E30" i="4"/>
  <c r="P29" i="4"/>
  <c r="M29" i="4"/>
  <c r="J29" i="4"/>
  <c r="G29" i="4"/>
  <c r="P26" i="4"/>
  <c r="O26" i="4"/>
  <c r="F25" i="4"/>
  <c r="P22" i="4"/>
  <c r="N22" i="4"/>
  <c r="N61" i="4" s="1"/>
  <c r="K22" i="4"/>
  <c r="K58" i="4" s="1"/>
  <c r="H22" i="4"/>
  <c r="H58" i="4" s="1"/>
  <c r="E22" i="4"/>
  <c r="E58" i="4" s="1"/>
  <c r="Q21" i="4"/>
  <c r="P21" i="4"/>
  <c r="O21" i="4"/>
  <c r="L19" i="4"/>
  <c r="M25" i="4" s="1"/>
  <c r="I19" i="4"/>
  <c r="J25" i="4" s="1"/>
  <c r="F19" i="4"/>
  <c r="C19" i="4"/>
  <c r="D25" i="4" s="1"/>
  <c r="M18" i="4"/>
  <c r="N18" i="4" s="1"/>
  <c r="L18" i="4"/>
  <c r="J18" i="4"/>
  <c r="I18" i="4"/>
  <c r="G18" i="4"/>
  <c r="H18" i="4" s="1"/>
  <c r="F18" i="4"/>
  <c r="D18" i="4"/>
  <c r="C18" i="4"/>
  <c r="P17" i="4"/>
  <c r="O17" i="4"/>
  <c r="O18" i="4" s="1"/>
  <c r="N17" i="4"/>
  <c r="K17" i="4"/>
  <c r="H17" i="4"/>
  <c r="E17" i="4"/>
  <c r="M14" i="4"/>
  <c r="N14" i="4" s="1"/>
  <c r="J14" i="4"/>
  <c r="K14" i="4" s="1"/>
  <c r="G14" i="4"/>
  <c r="H14" i="4" s="1"/>
  <c r="D14" i="4"/>
  <c r="E14" i="4" s="1"/>
  <c r="P13" i="4"/>
  <c r="P14" i="4" s="1"/>
  <c r="Q14" i="4" s="1"/>
  <c r="K13" i="4"/>
  <c r="N13" i="4" s="1"/>
  <c r="Q13" i="4" s="1"/>
  <c r="H13" i="4"/>
  <c r="Q11" i="4"/>
  <c r="P11" i="4"/>
  <c r="N11" i="4"/>
  <c r="K11" i="4"/>
  <c r="H11" i="4"/>
  <c r="E11" i="4"/>
  <c r="Q10" i="4"/>
  <c r="P10" i="4"/>
  <c r="N10" i="4"/>
  <c r="K10" i="4"/>
  <c r="H10" i="4"/>
  <c r="E10" i="4"/>
  <c r="Q9" i="4"/>
  <c r="N9" i="4"/>
  <c r="K9" i="4"/>
  <c r="H9" i="4"/>
  <c r="E9" i="4"/>
  <c r="Q8" i="4"/>
  <c r="N8" i="4"/>
  <c r="K8" i="4"/>
  <c r="H8" i="4"/>
  <c r="E8" i="4"/>
  <c r="Q7" i="4"/>
  <c r="N7" i="4"/>
  <c r="K7" i="4"/>
  <c r="H7" i="4"/>
  <c r="E7" i="4"/>
  <c r="N6" i="4"/>
  <c r="K6" i="4"/>
  <c r="H6" i="4"/>
  <c r="E6" i="4"/>
  <c r="Q5" i="4"/>
  <c r="P5" i="4"/>
  <c r="Q6" i="4" s="1"/>
  <c r="N5" i="4"/>
  <c r="K5" i="4"/>
  <c r="H5" i="4"/>
  <c r="P4" i="4"/>
  <c r="M4" i="4" s="1"/>
  <c r="J4" i="4" s="1"/>
  <c r="G4" i="4" s="1"/>
  <c r="D4" i="4" s="1"/>
  <c r="O4" i="4"/>
  <c r="I53" i="4" s="1"/>
  <c r="L4" i="4"/>
  <c r="I4" i="4" s="1"/>
  <c r="P2" i="4"/>
  <c r="G139" i="2"/>
  <c r="G143" i="2" s="1"/>
  <c r="F139" i="2"/>
  <c r="K139" i="2" s="1"/>
  <c r="E139" i="2"/>
  <c r="J139" i="2" s="1"/>
  <c r="D139" i="2"/>
  <c r="I139" i="2" s="1"/>
  <c r="C139" i="2"/>
  <c r="H139" i="2" s="1"/>
  <c r="G135" i="2"/>
  <c r="O132" i="2"/>
  <c r="N132" i="2"/>
  <c r="M132" i="2"/>
  <c r="L132" i="2"/>
  <c r="K132" i="2"/>
  <c r="I132" i="2"/>
  <c r="G132" i="2"/>
  <c r="Q132" i="2" s="1"/>
  <c r="F132" i="2"/>
  <c r="E132" i="2"/>
  <c r="D132" i="2"/>
  <c r="J132" i="2" s="1"/>
  <c r="C132" i="2"/>
  <c r="P132" i="2" s="1"/>
  <c r="P129" i="2"/>
  <c r="O129" i="2"/>
  <c r="N129" i="2"/>
  <c r="G129" i="2"/>
  <c r="F129" i="2"/>
  <c r="F135" i="2" s="1"/>
  <c r="E129" i="2"/>
  <c r="J129" i="2" s="1"/>
  <c r="D129" i="2"/>
  <c r="I129" i="2" s="1"/>
  <c r="C129" i="2"/>
  <c r="C135" i="2" s="1"/>
  <c r="O120" i="2"/>
  <c r="N120" i="2"/>
  <c r="J120" i="2"/>
  <c r="I120" i="2"/>
  <c r="G120" i="2"/>
  <c r="G121" i="2" s="1"/>
  <c r="G125" i="2" s="1"/>
  <c r="F120" i="2"/>
  <c r="L120" i="2" s="1"/>
  <c r="E120" i="2"/>
  <c r="K120" i="2" s="1"/>
  <c r="D120" i="2"/>
  <c r="C120" i="2"/>
  <c r="Q120" i="2" s="1"/>
  <c r="L119" i="2"/>
  <c r="K119" i="2"/>
  <c r="G119" i="2"/>
  <c r="F119" i="2"/>
  <c r="E119" i="2"/>
  <c r="D119" i="2"/>
  <c r="J119" i="2" s="1"/>
  <c r="C119" i="2"/>
  <c r="P119" i="2" s="1"/>
  <c r="N118" i="2"/>
  <c r="M118" i="2"/>
  <c r="J118" i="2"/>
  <c r="I118" i="2"/>
  <c r="G118" i="2"/>
  <c r="F118" i="2"/>
  <c r="F121" i="2" s="1"/>
  <c r="E118" i="2"/>
  <c r="E121" i="2" s="1"/>
  <c r="D118" i="2"/>
  <c r="C118" i="2"/>
  <c r="Q118" i="2" s="1"/>
  <c r="N110" i="2"/>
  <c r="M110" i="2"/>
  <c r="H110" i="2"/>
  <c r="C110" i="2"/>
  <c r="C90" i="2"/>
  <c r="O86" i="2"/>
  <c r="O82" i="2"/>
  <c r="M82" i="2"/>
  <c r="L82" i="2"/>
  <c r="I82" i="2"/>
  <c r="G82" i="2"/>
  <c r="C82" i="2"/>
  <c r="E78" i="2"/>
  <c r="D78" i="2"/>
  <c r="J78" i="2" s="1"/>
  <c r="M66" i="2"/>
  <c r="C66" i="2"/>
  <c r="C74" i="2" s="1"/>
  <c r="Q62" i="2"/>
  <c r="L62" i="2"/>
  <c r="K62" i="2"/>
  <c r="F62" i="2"/>
  <c r="E62" i="2"/>
  <c r="D62" i="2"/>
  <c r="J62" i="2" s="1"/>
  <c r="C62" i="2"/>
  <c r="P62" i="2" s="1"/>
  <c r="J58" i="2"/>
  <c r="E58" i="2"/>
  <c r="D58" i="2"/>
  <c r="N86" i="2" s="1"/>
  <c r="F54" i="2"/>
  <c r="E54" i="2"/>
  <c r="J86" i="2" s="1"/>
  <c r="D54" i="2"/>
  <c r="J54" i="2" s="1"/>
  <c r="N22" i="2"/>
  <c r="M22" i="2"/>
  <c r="F78" i="2" s="1"/>
  <c r="J22" i="2"/>
  <c r="G22" i="2"/>
  <c r="E22" i="2"/>
  <c r="C114" i="2" s="1"/>
  <c r="D22" i="2"/>
  <c r="C78" i="2" s="1"/>
  <c r="N21" i="2"/>
  <c r="M21" i="2"/>
  <c r="L21" i="2"/>
  <c r="K21" i="2"/>
  <c r="J21" i="2"/>
  <c r="I21" i="2"/>
  <c r="H21" i="2"/>
  <c r="G21" i="2"/>
  <c r="I110" i="2" s="1"/>
  <c r="F21" i="2"/>
  <c r="E21" i="2"/>
  <c r="D21" i="2"/>
  <c r="C21" i="2"/>
  <c r="I19" i="2"/>
  <c r="C19" i="2"/>
  <c r="N18" i="2"/>
  <c r="F102" i="2" s="1"/>
  <c r="I18" i="2"/>
  <c r="G18" i="2"/>
  <c r="I90" i="2" s="1"/>
  <c r="D18" i="2"/>
  <c r="H90" i="2" s="1"/>
  <c r="C18" i="2"/>
  <c r="M17" i="2"/>
  <c r="L17" i="2"/>
  <c r="F90" i="2" s="1"/>
  <c r="K17" i="2"/>
  <c r="J17" i="2"/>
  <c r="I17" i="2"/>
  <c r="G17" i="2"/>
  <c r="F17" i="2"/>
  <c r="D90" i="2" s="1"/>
  <c r="E17" i="2"/>
  <c r="D17" i="2"/>
  <c r="C17" i="2"/>
  <c r="M14" i="2"/>
  <c r="G14" i="2"/>
  <c r="D14" i="2"/>
  <c r="M13" i="2"/>
  <c r="F110" i="2" s="1"/>
  <c r="K13" i="2"/>
  <c r="N13" i="2" s="1"/>
  <c r="Q13" i="2" s="1"/>
  <c r="J13" i="2"/>
  <c r="E90" i="2" s="1"/>
  <c r="H13" i="2"/>
  <c r="G13" i="2"/>
  <c r="D110" i="2" s="1"/>
  <c r="D13" i="2"/>
  <c r="P11" i="2"/>
  <c r="Q129" i="2" s="1"/>
  <c r="N11" i="2"/>
  <c r="M11" i="2"/>
  <c r="J11" i="2"/>
  <c r="G11" i="2"/>
  <c r="D11" i="2"/>
  <c r="M10" i="2"/>
  <c r="F58" i="2" s="1"/>
  <c r="K10" i="2"/>
  <c r="J10" i="2"/>
  <c r="G10" i="2"/>
  <c r="D10" i="2"/>
  <c r="C58" i="2" s="1"/>
  <c r="P9" i="2"/>
  <c r="N9" i="2"/>
  <c r="M9" i="2"/>
  <c r="J9" i="2"/>
  <c r="K9" i="2" s="1"/>
  <c r="H9" i="2"/>
  <c r="G9" i="2"/>
  <c r="D9" i="2"/>
  <c r="P8" i="2"/>
  <c r="Q82" i="2" s="1"/>
  <c r="N8" i="2"/>
  <c r="M8" i="2"/>
  <c r="P82" i="2" s="1"/>
  <c r="K86" i="2" s="1"/>
  <c r="K8" i="2"/>
  <c r="J8" i="2"/>
  <c r="G8" i="2"/>
  <c r="N82" i="2" s="1"/>
  <c r="I86" i="2" s="1"/>
  <c r="E8" i="2"/>
  <c r="D8" i="2"/>
  <c r="P7" i="2"/>
  <c r="M7" i="2"/>
  <c r="K82" i="2" s="1"/>
  <c r="F86" i="2" s="1"/>
  <c r="K7" i="2"/>
  <c r="J7" i="2"/>
  <c r="J82" i="2" s="1"/>
  <c r="E86" i="2" s="1"/>
  <c r="G7" i="2"/>
  <c r="D7" i="2"/>
  <c r="H82" i="2" s="1"/>
  <c r="Q6" i="2"/>
  <c r="P6" i="2"/>
  <c r="M6" i="2"/>
  <c r="F82" i="2" s="1"/>
  <c r="J6" i="2"/>
  <c r="E82" i="2" s="1"/>
  <c r="H6" i="2"/>
  <c r="G6" i="2"/>
  <c r="D82" i="2" s="1"/>
  <c r="D6" i="2"/>
  <c r="P5" i="2"/>
  <c r="Q9" i="2" s="1"/>
  <c r="N5" i="2"/>
  <c r="M5" i="2"/>
  <c r="K5" i="2"/>
  <c r="J5" i="2"/>
  <c r="K11" i="2" s="1"/>
  <c r="H5" i="2"/>
  <c r="Q5" i="2" s="1"/>
  <c r="G5" i="2"/>
  <c r="H7" i="2" s="1"/>
  <c r="D5" i="2"/>
  <c r="E11" i="2" s="1"/>
  <c r="O2" i="2"/>
  <c r="P4" i="2" s="1"/>
  <c r="M4" i="2" s="1"/>
  <c r="J4" i="2" s="1"/>
  <c r="G4" i="2" s="1"/>
  <c r="D4" i="2" s="1"/>
  <c r="N2" i="2"/>
  <c r="O4" i="2" s="1"/>
  <c r="L4" i="2" s="1"/>
  <c r="I4" i="2" s="1"/>
  <c r="F4" i="2" s="1"/>
  <c r="C4" i="2" s="1"/>
  <c r="L2" i="2"/>
  <c r="K2" i="2"/>
  <c r="N61" i="1"/>
  <c r="K61" i="1"/>
  <c r="N60" i="1"/>
  <c r="H60" i="1"/>
  <c r="H58" i="1"/>
  <c r="E58" i="1"/>
  <c r="I53" i="1"/>
  <c r="D53" i="1"/>
  <c r="P52" i="1"/>
  <c r="Q52" i="1" s="1"/>
  <c r="Q53" i="1" s="1"/>
  <c r="O52" i="1"/>
  <c r="O54" i="1" s="1"/>
  <c r="M52" i="1"/>
  <c r="Q49" i="1"/>
  <c r="N49" i="1"/>
  <c r="K49" i="1"/>
  <c r="H49" i="1"/>
  <c r="E49" i="1"/>
  <c r="D49" i="1"/>
  <c r="O46" i="1"/>
  <c r="L46" i="1"/>
  <c r="I46" i="1"/>
  <c r="J52" i="1" s="1"/>
  <c r="F46" i="1"/>
  <c r="G52" i="1" s="1"/>
  <c r="C46" i="1"/>
  <c r="D52" i="1" s="1"/>
  <c r="Q45" i="1"/>
  <c r="P45" i="1"/>
  <c r="O45" i="1"/>
  <c r="M45" i="1"/>
  <c r="L52" i="1" s="1"/>
  <c r="L45" i="1"/>
  <c r="J45" i="1"/>
  <c r="I52" i="1" s="1"/>
  <c r="I45" i="1"/>
  <c r="H45" i="1"/>
  <c r="G45" i="1"/>
  <c r="F52" i="1" s="1"/>
  <c r="F45" i="1"/>
  <c r="Q44" i="1"/>
  <c r="N44" i="1"/>
  <c r="K44" i="1"/>
  <c r="H44" i="1"/>
  <c r="D44" i="1"/>
  <c r="C44" i="1"/>
  <c r="C45" i="1" s="1"/>
  <c r="P41" i="1"/>
  <c r="Q41" i="1" s="1"/>
  <c r="N41" i="1"/>
  <c r="M41" i="1"/>
  <c r="J41" i="1"/>
  <c r="K41" i="1" s="1"/>
  <c r="G41" i="1"/>
  <c r="H41" i="1" s="1"/>
  <c r="Q40" i="1"/>
  <c r="D40" i="1"/>
  <c r="D45" i="1" s="1"/>
  <c r="Q38" i="1"/>
  <c r="N38" i="1"/>
  <c r="K38" i="1"/>
  <c r="I38" i="1"/>
  <c r="H38" i="1"/>
  <c r="F38" i="1"/>
  <c r="Q37" i="1"/>
  <c r="N37" i="1"/>
  <c r="K37" i="1"/>
  <c r="I37" i="1"/>
  <c r="H37" i="1"/>
  <c r="F37" i="1"/>
  <c r="Q36" i="1"/>
  <c r="N36" i="1"/>
  <c r="K36" i="1"/>
  <c r="I36" i="1"/>
  <c r="H36" i="1"/>
  <c r="F36" i="1"/>
  <c r="Q32" i="1"/>
  <c r="N32" i="1"/>
  <c r="K32" i="1"/>
  <c r="H32" i="1"/>
  <c r="E32" i="1"/>
  <c r="Q31" i="1"/>
  <c r="N31" i="1"/>
  <c r="K31" i="1"/>
  <c r="H31" i="1"/>
  <c r="E31" i="1"/>
  <c r="Q30" i="1"/>
  <c r="N30" i="1"/>
  <c r="K30" i="1"/>
  <c r="H30" i="1"/>
  <c r="E30" i="1"/>
  <c r="P29" i="1"/>
  <c r="M29" i="1"/>
  <c r="J29" i="1"/>
  <c r="G29" i="1"/>
  <c r="P26" i="1"/>
  <c r="G62" i="2" s="1"/>
  <c r="O26" i="1"/>
  <c r="M25" i="1"/>
  <c r="K98" i="2" s="1"/>
  <c r="C25" i="1"/>
  <c r="C98" i="2" s="1"/>
  <c r="P22" i="1"/>
  <c r="Q58" i="1" s="1"/>
  <c r="N22" i="1"/>
  <c r="N58" i="1" s="1"/>
  <c r="K22" i="1"/>
  <c r="K60" i="1" s="1"/>
  <c r="H22" i="1"/>
  <c r="H22" i="2" s="1"/>
  <c r="D114" i="2" s="1"/>
  <c r="E22" i="1"/>
  <c r="E60" i="1" s="1"/>
  <c r="Q21" i="1"/>
  <c r="Q21" i="2" s="1"/>
  <c r="P21" i="1"/>
  <c r="P21" i="2" s="1"/>
  <c r="O21" i="1"/>
  <c r="Q22" i="1" s="1"/>
  <c r="L19" i="1"/>
  <c r="I19" i="1"/>
  <c r="J25" i="1" s="1"/>
  <c r="J98" i="2" s="1"/>
  <c r="F19" i="1"/>
  <c r="C19" i="1"/>
  <c r="D25" i="1" s="1"/>
  <c r="H98" i="2" s="1"/>
  <c r="O18" i="1"/>
  <c r="N18" i="1"/>
  <c r="M18" i="1"/>
  <c r="L25" i="1" s="1"/>
  <c r="L18" i="1"/>
  <c r="J18" i="1"/>
  <c r="K18" i="1" s="1"/>
  <c r="K18" i="2" s="1"/>
  <c r="E102" i="2" s="1"/>
  <c r="I18" i="1"/>
  <c r="I25" i="1" s="1"/>
  <c r="H18" i="1"/>
  <c r="H18" i="2" s="1"/>
  <c r="D102" i="2" s="1"/>
  <c r="G18" i="1"/>
  <c r="F18" i="1"/>
  <c r="F25" i="1" s="1"/>
  <c r="D18" i="1"/>
  <c r="E18" i="1" s="1"/>
  <c r="E18" i="2" s="1"/>
  <c r="C102" i="2" s="1"/>
  <c r="C18" i="1"/>
  <c r="Q17" i="1"/>
  <c r="P17" i="1"/>
  <c r="O19" i="1" s="1"/>
  <c r="P25" i="1" s="1"/>
  <c r="L98" i="2" s="1"/>
  <c r="O17" i="1"/>
  <c r="O17" i="2" s="1"/>
  <c r="N17" i="1"/>
  <c r="K17" i="1"/>
  <c r="H17" i="1"/>
  <c r="E17" i="1"/>
  <c r="M14" i="1"/>
  <c r="N14" i="1" s="1"/>
  <c r="N14" i="2" s="1"/>
  <c r="J14" i="1"/>
  <c r="K14" i="1" s="1"/>
  <c r="K14" i="2" s="1"/>
  <c r="H14" i="1"/>
  <c r="H14" i="2" s="1"/>
  <c r="G14" i="1"/>
  <c r="G25" i="1" s="1"/>
  <c r="I98" i="2" s="1"/>
  <c r="D14" i="1"/>
  <c r="E14" i="1" s="1"/>
  <c r="E14" i="2" s="1"/>
  <c r="P13" i="1"/>
  <c r="P18" i="1" s="1"/>
  <c r="K13" i="1"/>
  <c r="N13" i="1" s="1"/>
  <c r="Q13" i="1" s="1"/>
  <c r="H13" i="1"/>
  <c r="Q11" i="1"/>
  <c r="P11" i="1"/>
  <c r="N11" i="1"/>
  <c r="K11" i="1"/>
  <c r="H11" i="1"/>
  <c r="E11" i="1"/>
  <c r="Q10" i="1"/>
  <c r="P10" i="1"/>
  <c r="P10" i="2" s="1"/>
  <c r="G58" i="2" s="1"/>
  <c r="N10" i="1"/>
  <c r="K10" i="1"/>
  <c r="H10" i="1"/>
  <c r="E10" i="1"/>
  <c r="Q9" i="1"/>
  <c r="N9" i="1"/>
  <c r="K9" i="1"/>
  <c r="H9" i="1"/>
  <c r="E9" i="1"/>
  <c r="Q8" i="1"/>
  <c r="N8" i="1"/>
  <c r="K8" i="1"/>
  <c r="H8" i="1"/>
  <c r="E8" i="1"/>
  <c r="Q7" i="1"/>
  <c r="N7" i="1"/>
  <c r="K7" i="1"/>
  <c r="H7" i="1"/>
  <c r="E7" i="1"/>
  <c r="Q6" i="1"/>
  <c r="N6" i="1"/>
  <c r="K6" i="1"/>
  <c r="H6" i="1"/>
  <c r="E6" i="1"/>
  <c r="Q5" i="1"/>
  <c r="P5" i="1"/>
  <c r="N5" i="1"/>
  <c r="K5" i="1"/>
  <c r="H5" i="1"/>
  <c r="P4" i="1"/>
  <c r="O4" i="1"/>
  <c r="O53" i="1" s="1"/>
  <c r="M4" i="1"/>
  <c r="J4" i="1" s="1"/>
  <c r="G4" i="1" s="1"/>
  <c r="D4" i="1" s="1"/>
  <c r="P2" i="1"/>
  <c r="P2" i="2" s="1"/>
  <c r="Q58" i="4" l="1"/>
  <c r="Q22" i="4"/>
  <c r="I52" i="4"/>
  <c r="O19" i="4"/>
  <c r="P25" i="4" s="1"/>
  <c r="N58" i="4"/>
  <c r="D45" i="4"/>
  <c r="C52" i="4" s="1"/>
  <c r="L25" i="4"/>
  <c r="I25" i="4"/>
  <c r="K18" i="4"/>
  <c r="H60" i="4"/>
  <c r="C25" i="4"/>
  <c r="K52" i="4"/>
  <c r="K53" i="4" s="1"/>
  <c r="I54" i="4"/>
  <c r="L54" i="4"/>
  <c r="N52" i="4"/>
  <c r="N53" i="4" s="1"/>
  <c r="Q61" i="4"/>
  <c r="Q60" i="4"/>
  <c r="O54" i="4"/>
  <c r="Q52" i="4"/>
  <c r="Q53" i="4" s="1"/>
  <c r="K25" i="4"/>
  <c r="K26" i="4" s="1"/>
  <c r="I27" i="4"/>
  <c r="C27" i="4"/>
  <c r="E25" i="4"/>
  <c r="E26" i="4" s="1"/>
  <c r="N25" i="4"/>
  <c r="N26" i="4" s="1"/>
  <c r="L27" i="4"/>
  <c r="F4" i="4"/>
  <c r="I26" i="4"/>
  <c r="H52" i="4"/>
  <c r="H53" i="4" s="1"/>
  <c r="F54" i="4"/>
  <c r="G25" i="4"/>
  <c r="F27" i="4" s="1"/>
  <c r="E45" i="4"/>
  <c r="Q45" i="4"/>
  <c r="O53" i="4"/>
  <c r="E60" i="4"/>
  <c r="Q17" i="4"/>
  <c r="C46" i="4"/>
  <c r="D52" i="4" s="1"/>
  <c r="E52" i="4" s="1"/>
  <c r="E53" i="4" s="1"/>
  <c r="K60" i="4"/>
  <c r="P18" i="4"/>
  <c r="N60" i="4"/>
  <c r="E18" i="4"/>
  <c r="L26" i="4"/>
  <c r="C53" i="4" s="1"/>
  <c r="E61" i="4"/>
  <c r="K45" i="4"/>
  <c r="F53" i="4"/>
  <c r="H61" i="4"/>
  <c r="K61" i="4"/>
  <c r="K121" i="2"/>
  <c r="E125" i="2"/>
  <c r="K52" i="1"/>
  <c r="K53" i="1" s="1"/>
  <c r="I54" i="1"/>
  <c r="L121" i="2"/>
  <c r="F125" i="2"/>
  <c r="P86" i="2"/>
  <c r="L58" i="2"/>
  <c r="K114" i="2"/>
  <c r="H86" i="2"/>
  <c r="K135" i="2"/>
  <c r="P135" i="2"/>
  <c r="N52" i="1"/>
  <c r="N53" i="1" s="1"/>
  <c r="L54" i="1"/>
  <c r="K78" i="2"/>
  <c r="O25" i="1"/>
  <c r="Q18" i="1"/>
  <c r="Q18" i="2" s="1"/>
  <c r="G102" i="2" s="1"/>
  <c r="M94" i="2"/>
  <c r="H94" i="2"/>
  <c r="M90" i="2"/>
  <c r="H25" i="1"/>
  <c r="D98" i="2"/>
  <c r="F27" i="1"/>
  <c r="M74" i="2"/>
  <c r="C94" i="2"/>
  <c r="L135" i="2"/>
  <c r="O94" i="2"/>
  <c r="G106" i="2"/>
  <c r="Q61" i="1"/>
  <c r="L129" i="2"/>
  <c r="Q22" i="2"/>
  <c r="Q60" i="1"/>
  <c r="Q17" i="2"/>
  <c r="O18" i="2"/>
  <c r="C52" i="1"/>
  <c r="E45" i="1"/>
  <c r="K25" i="1"/>
  <c r="I27" i="1"/>
  <c r="E98" i="2"/>
  <c r="N94" i="2"/>
  <c r="N90" i="2"/>
  <c r="K58" i="2"/>
  <c r="H52" i="1"/>
  <c r="H53" i="1" s="1"/>
  <c r="F54" i="1"/>
  <c r="I58" i="2"/>
  <c r="N58" i="2"/>
  <c r="O58" i="2"/>
  <c r="P58" i="2"/>
  <c r="Q58" i="2"/>
  <c r="M58" i="2"/>
  <c r="M86" i="2"/>
  <c r="I114" i="2"/>
  <c r="L27" i="1"/>
  <c r="F98" i="2"/>
  <c r="N25" i="1"/>
  <c r="P78" i="2"/>
  <c r="O78" i="2"/>
  <c r="N78" i="2"/>
  <c r="M78" i="2"/>
  <c r="I78" i="2"/>
  <c r="M135" i="2"/>
  <c r="H135" i="2"/>
  <c r="K6" i="2"/>
  <c r="N7" i="2"/>
  <c r="Q8" i="2"/>
  <c r="E10" i="2"/>
  <c r="H11" i="2"/>
  <c r="J18" i="2"/>
  <c r="J90" i="2" s="1"/>
  <c r="P22" i="2"/>
  <c r="G78" i="2" s="1"/>
  <c r="Q78" i="2" s="1"/>
  <c r="N17" i="2"/>
  <c r="O21" i="2"/>
  <c r="D66" i="2"/>
  <c r="J110" i="2"/>
  <c r="F114" i="2"/>
  <c r="O118" i="2"/>
  <c r="M119" i="2"/>
  <c r="K129" i="2"/>
  <c r="D135" i="2"/>
  <c r="L139" i="2"/>
  <c r="E61" i="1"/>
  <c r="N6" i="2"/>
  <c r="Q7" i="2"/>
  <c r="E9" i="2"/>
  <c r="H10" i="2"/>
  <c r="P13" i="2"/>
  <c r="L18" i="2"/>
  <c r="B54" i="2"/>
  <c r="I62" i="2"/>
  <c r="E66" i="2"/>
  <c r="K110" i="2"/>
  <c r="P118" i="2"/>
  <c r="N119" i="2"/>
  <c r="E135" i="2"/>
  <c r="Q135" i="2"/>
  <c r="M139" i="2"/>
  <c r="D41" i="1"/>
  <c r="E41" i="1" s="1"/>
  <c r="E44" i="1"/>
  <c r="K45" i="1"/>
  <c r="F53" i="1"/>
  <c r="H61" i="1"/>
  <c r="P17" i="2"/>
  <c r="O19" i="2" s="1"/>
  <c r="M18" i="2"/>
  <c r="K90" i="2" s="1"/>
  <c r="P94" i="2" s="1"/>
  <c r="C54" i="2"/>
  <c r="C86" i="2" s="1"/>
  <c r="F66" i="2"/>
  <c r="P66" i="2" s="1"/>
  <c r="C70" i="2"/>
  <c r="H114" i="2"/>
  <c r="O119" i="2"/>
  <c r="M120" i="2"/>
  <c r="M129" i="2"/>
  <c r="N139" i="2"/>
  <c r="P14" i="1"/>
  <c r="O139" i="2"/>
  <c r="P139" i="2"/>
  <c r="Q139" i="2"/>
  <c r="E7" i="2"/>
  <c r="N10" i="2"/>
  <c r="Q11" i="2"/>
  <c r="M62" i="2"/>
  <c r="O110" i="2"/>
  <c r="P120" i="2"/>
  <c r="L53" i="1"/>
  <c r="H17" i="2"/>
  <c r="G54" i="2"/>
  <c r="L54" i="2" s="1"/>
  <c r="N62" i="2"/>
  <c r="P110" i="2"/>
  <c r="E25" i="1"/>
  <c r="C27" i="1"/>
  <c r="N45" i="1"/>
  <c r="K58" i="1"/>
  <c r="H8" i="2"/>
  <c r="L4" i="1"/>
  <c r="E6" i="2"/>
  <c r="Q10" i="2"/>
  <c r="J14" i="2"/>
  <c r="F18" i="2"/>
  <c r="O62" i="2"/>
  <c r="E110" i="2"/>
  <c r="C121" i="2"/>
  <c r="C143" i="2"/>
  <c r="D86" i="2"/>
  <c r="Q119" i="2"/>
  <c r="F19" i="2"/>
  <c r="K22" i="2"/>
  <c r="E114" i="2" s="1"/>
  <c r="K118" i="2"/>
  <c r="I119" i="2"/>
  <c r="D121" i="2"/>
  <c r="D143" i="2"/>
  <c r="H129" i="2"/>
  <c r="E143" i="2"/>
  <c r="K54" i="2"/>
  <c r="L118" i="2"/>
  <c r="L19" i="2"/>
  <c r="F143" i="2"/>
  <c r="C54" i="4" l="1"/>
  <c r="H25" i="4"/>
  <c r="H26" i="4" s="1"/>
  <c r="O25" i="4"/>
  <c r="Q18" i="4"/>
  <c r="C4" i="4"/>
  <c r="C26" i="4" s="1"/>
  <c r="F26" i="4"/>
  <c r="P98" i="2"/>
  <c r="N26" i="1"/>
  <c r="Q14" i="1"/>
  <c r="Q14" i="2" s="1"/>
  <c r="P14" i="2"/>
  <c r="L106" i="2" s="1"/>
  <c r="H26" i="1"/>
  <c r="N98" i="2"/>
  <c r="G66" i="2"/>
  <c r="G110" i="2"/>
  <c r="Q110" i="2"/>
  <c r="P18" i="2"/>
  <c r="L90" i="2" s="1"/>
  <c r="L110" i="2"/>
  <c r="G114" i="2"/>
  <c r="G90" i="2"/>
  <c r="L86" i="2"/>
  <c r="Q70" i="2"/>
  <c r="I70" i="2"/>
  <c r="P70" i="2"/>
  <c r="O70" i="2"/>
  <c r="N70" i="2"/>
  <c r="M70" i="2"/>
  <c r="Q86" i="2"/>
  <c r="F70" i="2"/>
  <c r="G86" i="2"/>
  <c r="D125" i="2"/>
  <c r="J121" i="2"/>
  <c r="D70" i="2"/>
  <c r="N66" i="2"/>
  <c r="I66" i="2"/>
  <c r="D74" i="2"/>
  <c r="J66" i="2"/>
  <c r="Q54" i="2"/>
  <c r="I54" i="2"/>
  <c r="P54" i="2"/>
  <c r="O54" i="2"/>
  <c r="N54" i="2"/>
  <c r="M54" i="2"/>
  <c r="C106" i="2"/>
  <c r="B129" i="2"/>
  <c r="B135" i="2"/>
  <c r="B94" i="2"/>
  <c r="B82" i="2"/>
  <c r="B66" i="2"/>
  <c r="B125" i="2"/>
  <c r="B114" i="2"/>
  <c r="B110" i="2"/>
  <c r="B74" i="2"/>
  <c r="B58" i="2"/>
  <c r="B132" i="2"/>
  <c r="B78" i="2"/>
  <c r="B62" i="2"/>
  <c r="B143" i="2"/>
  <c r="B102" i="2"/>
  <c r="B90" i="2"/>
  <c r="B106" i="2"/>
  <c r="B139" i="2"/>
  <c r="B98" i="2"/>
  <c r="B86" i="2"/>
  <c r="B70" i="2"/>
  <c r="B117" i="2"/>
  <c r="I4" i="1"/>
  <c r="L26" i="1"/>
  <c r="C53" i="1" s="1"/>
  <c r="O135" i="2"/>
  <c r="J135" i="2"/>
  <c r="F74" i="2"/>
  <c r="K102" i="2"/>
  <c r="K94" i="2"/>
  <c r="N135" i="2"/>
  <c r="I135" i="2"/>
  <c r="K26" i="1"/>
  <c r="O98" i="2"/>
  <c r="O114" i="2" s="1"/>
  <c r="O27" i="1"/>
  <c r="G98" i="2"/>
  <c r="Q25" i="1"/>
  <c r="P90" i="2"/>
  <c r="J114" i="2"/>
  <c r="O66" i="2"/>
  <c r="E70" i="2"/>
  <c r="E74" i="2"/>
  <c r="K66" i="2"/>
  <c r="J94" i="2"/>
  <c r="J102" i="2"/>
  <c r="O90" i="2"/>
  <c r="L78" i="2"/>
  <c r="C125" i="2"/>
  <c r="Q121" i="2"/>
  <c r="M121" i="2"/>
  <c r="P121" i="2"/>
  <c r="O121" i="2"/>
  <c r="N121" i="2"/>
  <c r="I121" i="2"/>
  <c r="E26" i="1"/>
  <c r="M98" i="2"/>
  <c r="C54" i="1"/>
  <c r="E52" i="1"/>
  <c r="E53" i="1" s="1"/>
  <c r="Q25" i="4" l="1"/>
  <c r="Q26" i="4" s="1"/>
  <c r="O27" i="4"/>
  <c r="H102" i="2"/>
  <c r="H106" i="2"/>
  <c r="M114" i="2"/>
  <c r="K74" i="2"/>
  <c r="E94" i="2"/>
  <c r="O74" i="2"/>
  <c r="L70" i="2"/>
  <c r="F106" i="2"/>
  <c r="J74" i="2"/>
  <c r="I94" i="2"/>
  <c r="D94" i="2"/>
  <c r="N74" i="2"/>
  <c r="I74" i="2"/>
  <c r="L114" i="2"/>
  <c r="Q114" i="2"/>
  <c r="J106" i="2"/>
  <c r="I102" i="2"/>
  <c r="I106" i="2"/>
  <c r="N114" i="2"/>
  <c r="K70" i="2"/>
  <c r="E106" i="2"/>
  <c r="G74" i="2"/>
  <c r="Q74" i="2" s="1"/>
  <c r="Q66" i="2"/>
  <c r="G70" i="2"/>
  <c r="L66" i="2"/>
  <c r="Q26" i="1"/>
  <c r="Q98" i="2"/>
  <c r="L94" i="2"/>
  <c r="L102" i="2"/>
  <c r="J70" i="2"/>
  <c r="D106" i="2"/>
  <c r="P74" i="2"/>
  <c r="F94" i="2"/>
  <c r="I26" i="1"/>
  <c r="F4" i="1"/>
  <c r="G94" i="2"/>
  <c r="Q90" i="2"/>
  <c r="Q94" i="2"/>
  <c r="P114" i="2"/>
  <c r="K106" i="2"/>
  <c r="L74" i="2" l="1"/>
  <c r="F26" i="1"/>
  <c r="C4" i="1"/>
  <c r="C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C19" authorId="0" shapeId="0" xr:uid="{00000000-0006-0000-0000-000001000000}">
      <text>
        <r>
          <rPr>
            <sz val="11"/>
            <color theme="1"/>
            <rFont val="游ゴシック"/>
            <family val="2"/>
            <charset val="128"/>
            <scheme val="minor"/>
          </rPr>
          <t>はっしゃん 決算書3分速読 p242～
財務レバレッジ補正
=IF(D17 *C17&gt; 0,IF((1/(D17/ C17+0.33))&lt;1,1,IF((1/(D17 /C17 +0.33))&gt;1.5,1.5,1/(D17/C17+0.33))),0)
=IF(資本*資産&gt;0,IF((1/(資本/資産+0.33))&lt;1,1,IF((1/(資本/資産+0.33))&gt;1.5,1.5,1/(資本/資産+0.33))),0)
=①IF(資本*資産&gt;0,②IF((1/(資本/資産+0.33))&lt;1,1,③IF((1/(資本/資産+0.33))&gt;1.5,1.5,④1/(資本/資産+0.33))),⑤0)
①IF(資本*資産&gt;0
資本と資産を掛けた結果が正の値か判定
真(TRUE)の場合　→　②へ
偽(FALSE)の場合　→　⑤0を返す
↓
②IF((1/(資本/資産+0.33))&lt;1,1　→　TRUEの場合(計算結果が1未満)　→　1を返す
　　　　　　　　　　　　　　　　　　FALSEの場合(計算結果以上1)、③に進む
↓
③IF((1/(資本/資産+0.33))&gt;1.5,1.5　→　TRUEの場合(計算結果が1.5以上)　→　1.5を返す
　　　　　　　　　　　　　　　　　　　　FALSEの場合(計算結果が1.5未満)　→　④1/(資本/資産+0.33)の値を返す
【まとめ】
計算結果が0.00～0.99　→　1.00を返す
計算結果が1.00～1.49　→　計算結果を返す
計算結果が1.50～　　　→　1.50を返す</t>
        </r>
      </text>
    </comment>
    <comment ref="C24" authorId="0" shapeId="0" xr:uid="{00000000-0006-0000-0000-000002000000}">
      <text>
        <r>
          <rPr>
            <sz val="11"/>
            <color theme="1"/>
            <rFont val="游ゴシック"/>
            <family val="2"/>
            <charset val="128"/>
            <scheme val="minor"/>
          </rPr>
          <t>はっしゃん 決算書3分速読 p238～
資産価値=BPS*割引評価率
自己資本比率：割引評価率
80%以上：80%
67%以上：75%
50%以上：70%
33%以上：65%
10%以上：60%
10%未満：50%</t>
        </r>
      </text>
    </comment>
    <comment ref="D24" authorId="0" shapeId="0" xr:uid="{00000000-0006-0000-0000-000003000000}">
      <text>
        <r>
          <rPr>
            <sz val="11"/>
            <color theme="1"/>
            <rFont val="游ゴシック"/>
            <family val="2"/>
            <charset val="128"/>
            <scheme val="minor"/>
          </rPr>
          <t>はっしゃん 決算書3分速読 p241～
事業価値=EPS*(ROA*150*財務レバレッジ補正)
=IF(財務レバレッジ補正&gt;0,IF(経常利益&gt;0,IF(EPS*資産,EPS*(経常利益*0.7/資産*150),0),0)*財務レバレッジ補正,0)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C72" authorId="0" shapeId="0" xr:uid="{00000000-0006-0000-0100-000001000000}">
      <text>
        <r>
          <rPr>
            <sz val="11"/>
            <color theme="1"/>
            <rFont val="游ゴシック"/>
            <family val="2"/>
            <charset val="128"/>
            <scheme val="minor"/>
          </rPr>
          <t>はっしゃん 決算書3分速読 p176
EPS=経常利益*0.7/(発行済株式数-自己株式数)
・純利益ではなく、あえて経常利益で計算
・優遇制度などで法人税を払ってない企業もあるため純利益は使わない
・日本の法人税率は30%のため、一律30%で計算</t>
        </r>
      </text>
    </comment>
    <comment ref="C92" authorId="0" shapeId="0" xr:uid="{00000000-0006-0000-0100-000002000000}">
      <text>
        <r>
          <rPr>
            <sz val="11"/>
            <color theme="1"/>
            <rFont val="游ゴシック"/>
            <family val="2"/>
            <charset val="128"/>
            <scheme val="minor"/>
          </rPr>
          <t>=if(1株資産,EPS/1株資産,0)</t>
        </r>
      </text>
    </comment>
    <comment ref="H92" authorId="0" shapeId="0" xr:uid="{00000000-0006-0000-0100-000003000000}">
      <text>
        <r>
          <rPr>
            <sz val="11"/>
            <color theme="1"/>
            <rFont val="游ゴシック"/>
            <family val="2"/>
            <charset val="128"/>
            <scheme val="minor"/>
          </rPr>
          <t>はっしゃん 決算書3分速読 p165
ROE=純利益÷純資産（％）
=IF(1株資本,EPS/1株資本,0)</t>
        </r>
      </text>
    </comment>
    <comment ref="C104" authorId="0" shapeId="0" xr:uid="{00000000-0006-0000-0100-000004000000}">
      <text>
        <r>
          <rPr>
            <sz val="11"/>
            <color theme="1"/>
            <rFont val="游ゴシック"/>
            <family val="2"/>
            <charset val="128"/>
            <scheme val="minor"/>
          </rPr>
          <t>はっしゃん 決算書3分速読 p164~
PER=株価÷期待EPS
=if(経常利益,時価総額/(経常利益*0.7),0)</t>
        </r>
      </text>
    </comment>
    <comment ref="H112" authorId="0" shapeId="0" xr:uid="{00000000-0006-0000-0100-000005000000}">
      <text>
        <r>
          <rPr>
            <sz val="11"/>
            <color theme="1"/>
            <rFont val="游ゴシック"/>
            <family val="2"/>
            <charset val="128"/>
            <scheme val="minor"/>
          </rPr>
          <t>=if(1株営業CF,株価/1株営業CF,0)</t>
        </r>
      </text>
    </comment>
    <comment ref="C114" authorId="0" shapeId="0" xr:uid="{00000000-0006-0000-0100-000006000000}">
      <text>
        <r>
          <rPr>
            <sz val="11"/>
            <color theme="1"/>
            <rFont val="游ゴシック"/>
            <family val="2"/>
            <charset val="128"/>
            <scheme val="minor"/>
          </rPr>
          <t>=if(発行株数,FCF/発行株数*1000,0)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C19" authorId="0" shapeId="0" xr:uid="{76FDFFDC-0BAD-4896-A705-D8E242EB9BC6}">
      <text>
        <r>
          <rPr>
            <sz val="11"/>
            <color theme="1"/>
            <rFont val="游ゴシック"/>
            <family val="2"/>
            <charset val="128"/>
            <scheme val="minor"/>
          </rPr>
          <t>はっしゃん 決算書3分速読 p242～
財務レバレッジ補正
=IF(D17 *C17&gt; 0,IF((1/(D17/ C17+0.33))&lt;1,1,IF((1/(D17 /C17 +0.33))&gt;1.5,1.5,1/(D17/C17+0.33))),0)
=IF(資本*資産&gt;0,IF((1/(資本/資産+0.33))&lt;1,1,IF((1/(資本/資産+0.33))&gt;1.5,1.5,1/(資本/資産+0.33))),0)
=①IF(資本*資産&gt;0,②IF((1/(資本/資産+0.33))&lt;1,1,③IF((1/(資本/資産+0.33))&gt;1.5,1.5,④1/(資本/資産+0.33))),⑤0)
①IF(資本*資産&gt;0
資本と資産を掛けた結果が正の値か判定
真(TRUE)の場合　→　②へ
偽(FALSE)の場合　→　⑤0を返す
↓
②IF((1/(資本/資産+0.33))&lt;1,1　→　TRUEの場合(計算結果が1未満)　→　1を返す
　　　　　　　　　　　　　　　　　　FALSEの場合(計算結果以上1)、③に進む
↓
③IF((1/(資本/資産+0.33))&gt;1.5,1.5　→　TRUEの場合(計算結果が1.5以上)　→　1.5を返す
　　　　　　　　　　　　　　　　　　　　FALSEの場合(計算結果が1.5未満)　→　④1/(資本/資産+0.33)の値を返す
【まとめ】
計算結果が0.00～0.99　→　1.00を返す
計算結果が1.00～1.49　→　計算結果を返す
計算結果が1.50～　　　→　1.50を返す</t>
        </r>
      </text>
    </comment>
    <comment ref="C24" authorId="0" shapeId="0" xr:uid="{F637413C-7E2C-49AB-996E-4BFED7FB6EC5}">
      <text>
        <r>
          <rPr>
            <sz val="11"/>
            <color theme="1"/>
            <rFont val="游ゴシック"/>
            <family val="2"/>
            <charset val="128"/>
            <scheme val="minor"/>
          </rPr>
          <t>はっしゃん 決算書3分速読 p238～
資産価値=BPS*割引評価率
自己資本比率：割引評価率
80%以上：80%
67%以上：75%
50%以上：70%
33%以上：65%
10%以上：60%
10%未満：50%</t>
        </r>
      </text>
    </comment>
    <comment ref="D24" authorId="0" shapeId="0" xr:uid="{991E0CB3-0790-45FD-92EA-A11E84067104}">
      <text>
        <r>
          <rPr>
            <sz val="11"/>
            <color theme="1"/>
            <rFont val="游ゴシック"/>
            <family val="2"/>
            <charset val="128"/>
            <scheme val="minor"/>
          </rPr>
          <t>はっしゃん 決算書3分速読 p241～
事業価値=EPS*(ROA*150*財務レバレッジ補正)
=IF(財務レバレッジ補正&gt;0,IF(経常利益&gt;0,IF(EPS*資産,EPS*(経常利益*0.7/資産*150),0),0)*財務レバレッジ補正,0)</t>
        </r>
      </text>
    </comment>
  </commentList>
</comments>
</file>

<file path=xl/sharedStrings.xml><?xml version="1.0" encoding="utf-8"?>
<sst xmlns="http://schemas.openxmlformats.org/spreadsheetml/2006/main" count="1013" uniqueCount="216">
  <si>
    <t>コード</t>
  </si>
  <si>
    <t>銘柄名</t>
  </si>
  <si>
    <t>決算年</t>
  </si>
  <si>
    <t>決算月</t>
  </si>
  <si>
    <t>更新日</t>
  </si>
  <si>
    <t>江崎グリコ株式会社</t>
  </si>
  <si>
    <t>■時系列決算データ比較</t>
  </si>
  <si>
    <t>構成比</t>
  </si>
  <si>
    <t>売上高</t>
  </si>
  <si>
    <t>百万</t>
  </si>
  <si>
    <t>売上原価</t>
  </si>
  <si>
    <t>売上総利益</t>
  </si>
  <si>
    <t>販管費</t>
  </si>
  <si>
    <t>営業利益</t>
  </si>
  <si>
    <t>経常利益</t>
  </si>
  <si>
    <t>純利益</t>
  </si>
  <si>
    <t>発行株数</t>
  </si>
  <si>
    <t>千株</t>
  </si>
  <si>
    <t>EPS／PER</t>
  </si>
  <si>
    <t>資産</t>
  </si>
  <si>
    <t>資本</t>
  </si>
  <si>
    <t>負債</t>
  </si>
  <si>
    <t>バランスシート</t>
  </si>
  <si>
    <t>BPS／PBR</t>
  </si>
  <si>
    <t>財務レバレッジ補正</t>
  </si>
  <si>
    <t>営業</t>
  </si>
  <si>
    <t>投資</t>
  </si>
  <si>
    <t>財務</t>
  </si>
  <si>
    <t>キャッシュフロー</t>
  </si>
  <si>
    <t>現金残／FCF</t>
  </si>
  <si>
    <t>資産価値</t>
  </si>
  <si>
    <t>事業価値</t>
  </si>
  <si>
    <t>理論株価</t>
  </si>
  <si>
    <t>株価／理論比</t>
  </si>
  <si>
    <t>上限理論株価</t>
  </si>
  <si>
    <t>■今期会社予想</t>
  </si>
  <si>
    <t>期初</t>
  </si>
  <si>
    <t>前期比</t>
  </si>
  <si>
    <t>１Q</t>
  </si>
  <si>
    <t>２Q</t>
  </si>
  <si>
    <t>３Q</t>
  </si>
  <si>
    <t>実績</t>
  </si>
  <si>
    <t>■今期四半期決算</t>
  </si>
  <si>
    <t>進捗率</t>
  </si>
  <si>
    <t>４Q</t>
  </si>
  <si>
    <t>データなし</t>
  </si>
  <si>
    <t>短期借</t>
  </si>
  <si>
    <t>長期借</t>
  </si>
  <si>
    <t>社債</t>
  </si>
  <si>
    <t>純有利子負債</t>
  </si>
  <si>
    <t>借金返済年数</t>
  </si>
  <si>
    <t>配当金</t>
  </si>
  <si>
    <t>自己株式取得</t>
  </si>
  <si>
    <t>給与</t>
  </si>
  <si>
    <t>賞与</t>
  </si>
  <si>
    <t>賞与引当</t>
  </si>
  <si>
    <t>退職給付費用</t>
  </si>
  <si>
    <t>減価償却費</t>
  </si>
  <si>
    <t>目安</t>
  </si>
  <si>
    <t>借金返済目安</t>
  </si>
  <si>
    <t>30〜50% → 健全</t>
  </si>
  <si>
    <t>年数</t>
  </si>
  <si>
    <t>評価</t>
  </si>
  <si>
    <t>60〜70% → やや高め</t>
  </si>
  <si>
    <t>0〜2年</t>
  </si>
  <si>
    <t>超健全</t>
  </si>
  <si>
    <t>80%以上 → 危険信号</t>
  </si>
  <si>
    <t>3〜4年</t>
  </si>
  <si>
    <t>普通</t>
  </si>
  <si>
    <t>100%以上 → 稼いだ以上に配っている</t>
  </si>
  <si>
    <t>5年以上</t>
  </si>
  <si>
    <t>やや重い</t>
  </si>
  <si>
    <t>7年以上</t>
  </si>
  <si>
    <t>危険水域</t>
  </si>
  <si>
    <t>ＥＰＳ／ＰＥＲ</t>
  </si>
  <si>
    <t>ＢＰＳ／ＰＢＲ</t>
  </si>
  <si>
    <t>現金残／ＦＣＦ</t>
  </si>
  <si>
    <t>■時系列比較データ</t>
  </si>
  <si>
    <t>売上</t>
  </si>
  <si>
    <t>売上増収率</t>
  </si>
  <si>
    <t>３期前比較</t>
  </si>
  <si>
    <t>４期前</t>
  </si>
  <si>
    <t>３期前</t>
  </si>
  <si>
    <t>２期前</t>
  </si>
  <si>
    <t>前期</t>
  </si>
  <si>
    <t>（今期）</t>
  </si>
  <si>
    <t>-</t>
  </si>
  <si>
    <t>経常増益率</t>
  </si>
  <si>
    <t>株価</t>
  </si>
  <si>
    <t>株価上昇率</t>
  </si>
  <si>
    <t>発行株数増加率</t>
  </si>
  <si>
    <t>時価総額</t>
  </si>
  <si>
    <t>時価総額増加率</t>
  </si>
  <si>
    <t>ＥＰＳ</t>
  </si>
  <si>
    <t>(経常*30%)</t>
  </si>
  <si>
    <t>ＥＰＳ増加率</t>
  </si>
  <si>
    <t>現金残</t>
  </si>
  <si>
    <t>現金残増加率</t>
  </si>
  <si>
    <t>粗利益</t>
  </si>
  <si>
    <t>ＰＬ</t>
  </si>
  <si>
    <t>粗利益率</t>
  </si>
  <si>
    <t>販管費比率</t>
  </si>
  <si>
    <t>経常利益率</t>
  </si>
  <si>
    <t>利益率</t>
  </si>
  <si>
    <t>１株資産</t>
  </si>
  <si>
    <t>１株資本</t>
  </si>
  <si>
    <t>１株負債</t>
  </si>
  <si>
    <t>１株BS</t>
  </si>
  <si>
    <t>ＲＯＡ</t>
  </si>
  <si>
    <t>ＲＯＥ</t>
  </si>
  <si>
    <t>自己資本比率</t>
  </si>
  <si>
    <t>収益効率</t>
  </si>
  <si>
    <t>ＰＢＲ</t>
  </si>
  <si>
    <t>理論ＰＢＲ</t>
  </si>
  <si>
    <t>ＰＥＲ</t>
  </si>
  <si>
    <t>理論ＰＥＲ</t>
  </si>
  <si>
    <t>営業ＣＦ</t>
  </si>
  <si>
    <t>投資ＣＦ</t>
  </si>
  <si>
    <t>財務ＣＦ</t>
  </si>
  <si>
    <t>１株ＣＦ</t>
  </si>
  <si>
    <t>ＦＣＦ</t>
  </si>
  <si>
    <t>ＰＣＦＲ</t>
  </si>
  <si>
    <t>理論ＰＣＦＲ</t>
  </si>
  <si>
    <t>金額</t>
  </si>
  <si>
    <t>増減率</t>
  </si>
  <si>
    <t>短期借入金</t>
  </si>
  <si>
    <t>長期借入金</t>
  </si>
  <si>
    <t>純利子負債</t>
  </si>
  <si>
    <t>借金返済年数　(純利子負債/(営業利益+CF減価償却費))</t>
  </si>
  <si>
    <t>配当金性向　(配当金/FCF)</t>
  </si>
  <si>
    <t>配当金性向　(配当金/純利益)</t>
  </si>
  <si>
    <t>還元額</t>
  </si>
  <si>
    <t>還元率　(還元額/FCF)</t>
  </si>
  <si>
    <t>還元率　(還元額/期末残高)</t>
  </si>
  <si>
    <t>株主還元</t>
  </si>
  <si>
    <t>従業員還元</t>
  </si>
  <si>
    <t>FCF基準　(株主還元額/(営業利益+株主還元額+CF減価償却費)</t>
  </si>
  <si>
    <t>付加価値分配率</t>
  </si>
  <si>
    <t>・　</t>
  </si>
  <si>
    <t>増減率について</t>
  </si>
  <si>
    <t>赤字から黒字になった場合：-(ハイフン)</t>
  </si>
  <si>
    <t>黒字から赤字になった場合：-(ハイフン)</t>
  </si>
  <si>
    <t>0から増減した場合：-(ハイフン)</t>
  </si>
  <si>
    <t>※ほかにも違う種類のタグがあれば対応できるようにしたい</t>
    <rPh sb="5" eb="6">
      <t>チガ</t>
    </rPh>
    <rPh sb="7" eb="9">
      <t>シュルイ</t>
    </rPh>
    <rPh sb="16" eb="18">
      <t>タイオウ</t>
    </rPh>
    <phoneticPr fontId="2"/>
  </si>
  <si>
    <t>エクセル表記</t>
    <rPh sb="4" eb="6">
      <t>ヒョウキ</t>
    </rPh>
    <phoneticPr fontId="2"/>
  </si>
  <si>
    <t>タグ</t>
    <phoneticPr fontId="2"/>
  </si>
  <si>
    <t>銘柄名</t>
    <rPh sb="0" eb="2">
      <t>メイガラ</t>
    </rPh>
    <rPh sb="2" eb="3">
      <t>メイ</t>
    </rPh>
    <phoneticPr fontId="2"/>
  </si>
  <si>
    <t>決算年</t>
    <rPh sb="0" eb="2">
      <t>ケッサン</t>
    </rPh>
    <rPh sb="2" eb="3">
      <t>トシ</t>
    </rPh>
    <phoneticPr fontId="2"/>
  </si>
  <si>
    <t>CurrentFiscalYearEndDateDEIyear</t>
    <phoneticPr fontId="2"/>
  </si>
  <si>
    <t>jpcrp_cor:CompanyNameCoverPage</t>
    <phoneticPr fontId="2"/>
  </si>
  <si>
    <t>決算月</t>
    <rPh sb="0" eb="3">
      <t>ケッサンツキ</t>
    </rPh>
    <phoneticPr fontId="2"/>
  </si>
  <si>
    <t>売上高</t>
    <phoneticPr fontId="2"/>
  </si>
  <si>
    <t>売上原価</t>
    <phoneticPr fontId="2"/>
  </si>
  <si>
    <t>売上総利益</t>
    <phoneticPr fontId="2"/>
  </si>
  <si>
    <t>販管費</t>
    <phoneticPr fontId="2"/>
  </si>
  <si>
    <t>営業利益</t>
    <phoneticPr fontId="2"/>
  </si>
  <si>
    <t>経常利益</t>
    <phoneticPr fontId="2"/>
  </si>
  <si>
    <t>純利益</t>
    <phoneticPr fontId="2"/>
  </si>
  <si>
    <t>発行株数</t>
    <rPh sb="0" eb="4">
      <t>ハッコウカブスウ</t>
    </rPh>
    <phoneticPr fontId="2"/>
  </si>
  <si>
    <t>資産</t>
    <rPh sb="0" eb="2">
      <t>シサン</t>
    </rPh>
    <phoneticPr fontId="2"/>
  </si>
  <si>
    <t>資本</t>
    <rPh sb="0" eb="2">
      <t>シホン</t>
    </rPh>
    <phoneticPr fontId="2"/>
  </si>
  <si>
    <t>営業cf</t>
    <phoneticPr fontId="2"/>
  </si>
  <si>
    <t>投資cf</t>
    <rPh sb="0" eb="2">
      <t>トウシ</t>
    </rPh>
    <phoneticPr fontId="2"/>
  </si>
  <si>
    <t>財務cf</t>
    <rPh sb="0" eb="2">
      <t>ザイム</t>
    </rPh>
    <phoneticPr fontId="2"/>
  </si>
  <si>
    <t>現金残／FCF</t>
    <rPh sb="0" eb="2">
      <t>ゲンキン</t>
    </rPh>
    <rPh sb="2" eb="3">
      <t>ザン</t>
    </rPh>
    <phoneticPr fontId="2"/>
  </si>
  <si>
    <t>短期借</t>
    <rPh sb="0" eb="2">
      <t>タンキ</t>
    </rPh>
    <rPh sb="2" eb="3">
      <t>カ</t>
    </rPh>
    <phoneticPr fontId="2"/>
  </si>
  <si>
    <t>長期借</t>
    <rPh sb="0" eb="2">
      <t>チョウキ</t>
    </rPh>
    <rPh sb="2" eb="3">
      <t>カ</t>
    </rPh>
    <phoneticPr fontId="2"/>
  </si>
  <si>
    <t>社債</t>
    <rPh sb="0" eb="2">
      <t>シャサイ</t>
    </rPh>
    <phoneticPr fontId="2"/>
  </si>
  <si>
    <t>自己株式取得</t>
    <rPh sb="0" eb="6">
      <t>ジコカブシキシュトク</t>
    </rPh>
    <phoneticPr fontId="2"/>
  </si>
  <si>
    <t>配当金</t>
    <rPh sb="0" eb="3">
      <t>ハイトウキン</t>
    </rPh>
    <phoneticPr fontId="2"/>
  </si>
  <si>
    <t>賞与引当</t>
    <rPh sb="0" eb="2">
      <t>ショウヨ</t>
    </rPh>
    <rPh sb="2" eb="4">
      <t>ヒキアテ</t>
    </rPh>
    <phoneticPr fontId="2"/>
  </si>
  <si>
    <t>給料</t>
    <rPh sb="0" eb="2">
      <t>キュウリョウ</t>
    </rPh>
    <phoneticPr fontId="2"/>
  </si>
  <si>
    <t>賞与</t>
    <rPh sb="0" eb="2">
      <t>ショウヨ</t>
    </rPh>
    <phoneticPr fontId="2"/>
  </si>
  <si>
    <t>退職給付費用</t>
    <rPh sb="0" eb="2">
      <t>タイショク</t>
    </rPh>
    <rPh sb="2" eb="4">
      <t>キュウフ</t>
    </rPh>
    <rPh sb="4" eb="6">
      <t>ヒヨウ</t>
    </rPh>
    <phoneticPr fontId="2"/>
  </si>
  <si>
    <t>減価償却費</t>
    <rPh sb="0" eb="5">
      <t>ゲンカショウキャクヒ</t>
    </rPh>
    <phoneticPr fontId="2"/>
  </si>
  <si>
    <t>jppfs_cor:NetIncreaseDecreaseInShortTermLoansPayableFinCF</t>
    <phoneticPr fontId="2"/>
  </si>
  <si>
    <t>jppfs_cor:ProceedsFromLongTermLoansPayableFinCF</t>
    <phoneticPr fontId="2"/>
  </si>
  <si>
    <t>jppfs_cor:ProceedsFromIssuanceOfBondsFinCF</t>
    <phoneticPr fontId="2"/>
  </si>
  <si>
    <t>jppfs_cor:PurchaseOfTreasuryStockFinCF</t>
    <phoneticPr fontId="2"/>
  </si>
  <si>
    <t>jppfs_cor:CashDividendsPaidFinCF</t>
    <phoneticPr fontId="2"/>
  </si>
  <si>
    <t>jppfs_cor:SalariesAndWagesSGA</t>
    <phoneticPr fontId="2"/>
  </si>
  <si>
    <t>jppfs_cor:BonusesAndAllowanceSGA</t>
    <phoneticPr fontId="2"/>
  </si>
  <si>
    <t>jppfs_cor:ProvisionForBonusesSGA</t>
    <phoneticPr fontId="2"/>
  </si>
  <si>
    <t>jppfs_cor:RetirementBenefitExpensesSGA</t>
    <phoneticPr fontId="2"/>
  </si>
  <si>
    <t>jppfs_cor:DepreciationAndAmortizationOpeCF</t>
    <phoneticPr fontId="2"/>
  </si>
  <si>
    <t>以下のようなXBRLファイル内タグを使ってエクセルに書き込みたいです。</t>
    <rPh sb="0" eb="2">
      <t>イカ</t>
    </rPh>
    <rPh sb="14" eb="15">
      <t>ナイ</t>
    </rPh>
    <rPh sb="18" eb="19">
      <t>ツカ</t>
    </rPh>
    <rPh sb="26" eb="27">
      <t>カ</t>
    </rPh>
    <rPh sb="28" eb="29">
      <t>コ</t>
    </rPh>
    <phoneticPr fontId="2"/>
  </si>
  <si>
    <t>XBRLファイル内タグの「contextRef」については以下の種類を使います。</t>
    <rPh sb="8" eb="9">
      <t>ナイ</t>
    </rPh>
    <rPh sb="29" eb="31">
      <t>イカ</t>
    </rPh>
    <rPh sb="32" eb="34">
      <t>シュルイ</t>
    </rPh>
    <rPh sb="35" eb="36">
      <t>ツカ</t>
    </rPh>
    <phoneticPr fontId="2"/>
  </si>
  <si>
    <t>CurrentYearDuration_NonConsolidatedMember</t>
    <phoneticPr fontId="2"/>
  </si>
  <si>
    <t>※会計基準のIFRSも含む</t>
    <rPh sb="1" eb="5">
      <t>カイケイキジュン</t>
    </rPh>
    <rPh sb="11" eb="12">
      <t>フク</t>
    </rPh>
    <phoneticPr fontId="2"/>
  </si>
  <si>
    <t>CurrentYearDuration</t>
    <phoneticPr fontId="2"/>
  </si>
  <si>
    <t>CurrentYearInstant_NonConsolidatedMember</t>
    <phoneticPr fontId="2"/>
  </si>
  <si>
    <t>CurrentYearInstant</t>
    <phoneticPr fontId="2"/>
  </si>
  <si>
    <t>CurrentYTDDuration_NonConsolidatedMember</t>
    <phoneticPr fontId="2"/>
  </si>
  <si>
    <t>CurrentYTDDuration</t>
    <phoneticPr fontId="2"/>
  </si>
  <si>
    <t>CurrentQuarterInstant_NonConsolidatedMember</t>
    <phoneticPr fontId="2"/>
  </si>
  <si>
    <t>CurrentQuarterInstant</t>
    <phoneticPr fontId="2"/>
  </si>
  <si>
    <t>InterimDuration_NonConsolidatedMember</t>
    <phoneticPr fontId="2"/>
  </si>
  <si>
    <t>InterimDuration</t>
    <phoneticPr fontId="2"/>
  </si>
  <si>
    <t>なお、以下のものは私が把握している限りのものです。ほかにも違う種類があれば対応できるようにしたい。</t>
    <rPh sb="3" eb="5">
      <t>イカ</t>
    </rPh>
    <rPh sb="9" eb="10">
      <t>ワタシ</t>
    </rPh>
    <rPh sb="11" eb="13">
      <t>ハアク</t>
    </rPh>
    <rPh sb="17" eb="18">
      <t>カギ</t>
    </rPh>
    <rPh sb="29" eb="30">
      <t>チガ</t>
    </rPh>
    <rPh sb="31" eb="33">
      <t>シュルイ</t>
    </rPh>
    <rPh sb="37" eb="39">
      <t>タイオウ</t>
    </rPh>
    <phoneticPr fontId="2"/>
  </si>
  <si>
    <t>コード</t>
    <phoneticPr fontId="2"/>
  </si>
  <si>
    <t>jpdei_cor:SecurityCodeDEI</t>
  </si>
  <si>
    <t>jppfs_cor:NetSales、jpigp_cor:RevenueIFRS、jpigp_cor:NetSalesIFRS、jpcrp030000-asr_E02144-000:TotalNetRevenuesIFRS</t>
    <phoneticPr fontId="2"/>
  </si>
  <si>
    <t>jppfs_cor:CostOfSales、jpigp_cor:CostOfSalesIFRS</t>
    <phoneticPr fontId="2"/>
  </si>
  <si>
    <t>jppfs_cor:GrossProfit、jpigp_cor:GrossProfitIFRS</t>
    <phoneticPr fontId="2"/>
  </si>
  <si>
    <t>jppfs_cor:SellingGeneralAndAdministrativeExpenses、jpigp_cor:SellingGeneralAndAdministrativeExpensesIFRS</t>
    <phoneticPr fontId="2"/>
  </si>
  <si>
    <t>jppfs_cor:OperatingIncome、jpigp_cor:OperatingProfitLossIFRS</t>
    <phoneticPr fontId="2"/>
  </si>
  <si>
    <t>jppfs_cor:OrdinaryIncome、jpigp_cor:ProfitLossBeforeTaxIFRS</t>
    <phoneticPr fontId="2"/>
  </si>
  <si>
    <t>jppfs_cor:ProfitLoss、jpigp_cor:ProfitLossIFRS</t>
    <phoneticPr fontId="2"/>
  </si>
  <si>
    <t>jppfs_cor:NetCashProvidedByUsedInOperatingActivities、jpigp_cor:NetCashProvidedByUsedInOperatingActivitiesIFRS</t>
    <phoneticPr fontId="2"/>
  </si>
  <si>
    <t>jppfs_cor:NetCashProvidedByUsedInInvestmentActivities、jpigp_cor:NetCashProvidedByUsedInInvestingActivitiesIFRS</t>
    <phoneticPr fontId="2"/>
  </si>
  <si>
    <t>jppfs_cor:NetCashProvidedByUsedInFinancingActivities、jpigp_cor:NetCashProvidedByUsedInFinancingActivitiesIFRS</t>
    <phoneticPr fontId="2"/>
  </si>
  <si>
    <t>jppfs_cor:CashAndCashEquivalents、jpigp_cor:CashAndCashEquivalentsIFRS</t>
    <phoneticPr fontId="2"/>
  </si>
  <si>
    <t>jpdei_cor:CurrentFiscalYearEndDateDEI</t>
    <phoneticPr fontId="2"/>
  </si>
  <si>
    <t>jpcrp_cor:TotalNumberOfIssuedSharesSummaryOfBusinessResults、jpcrp_cor:NumberOfIssuedSharesAsOfFiscalYearEndIssuedSharesTotalNumberOfSharesEtc</t>
    <phoneticPr fontId="2"/>
  </si>
  <si>
    <t>jpcrp_cor:TotalAssetsSummaryOfBusinessResults、jpcrp_cor:TotalAssetsIFRSSummaryOfBusinessResults、jpigp_cor:AssetsIFRS</t>
    <phoneticPr fontId="2"/>
  </si>
  <si>
    <t>jpcrp_cor:NetAssetsSummaryOfBusinessResults、jpcrp_cor:EquityAttributableToOwnersOfParentIFRSSummaryOfBusinessResults、jpigp_cor:EquityAttributableToOwnersOfParentIFRS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</si>
</sst>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yy/mm/dd"/>
    <numFmt numFmtId="178" formatCode="0.0%"/>
    <numFmt numFmtId="179" formatCode="#,##0.0;[Red]\-#,##0.0"/>
    <numFmt numFmtId="180" formatCode="#,##0_ "/>
    <numFmt numFmtId="181" formatCode="#,##0_ ;[Red]\-#,##0\ "/>
  </numFmts>
  <fonts count="8"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theme="1"/>
      <name val="ＭＳ Ｐゴシック"/>
      <family val="3"/>
      <charset val="128"/>
    </font>
    <font>
      <sz val="10"/>
      <color theme="1"/>
      <name val="ＭＳ Ｐゴシック"/>
      <family val="3"/>
      <charset val="128"/>
    </font>
    <font>
      <sz val="9"/>
      <color theme="1"/>
      <name val="ＭＳ Ｐゴシック"/>
      <family val="3"/>
      <charset val="128"/>
    </font>
    <font>
      <sz val="10"/>
      <name val="ＭＳ Ｐゴシック"/>
      <family val="3"/>
      <charset val="128"/>
    </font>
    <font>
      <sz val="9"/>
      <name val="ＭＳ Ｐゴシック"/>
      <family val="3"/>
      <charset val="128"/>
    </font>
  </fonts>
  <fills count="17">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rgb="FFFFFF66"/>
        <bgColor indexed="64"/>
      </patternFill>
    </fill>
    <fill>
      <patternFill patternType="solid">
        <fgColor rgb="FFFFFFCC"/>
        <bgColor indexed="64"/>
      </patternFill>
    </fill>
    <fill>
      <patternFill patternType="solid">
        <fgColor rgb="FFFF99FF"/>
        <bgColor indexed="64"/>
      </patternFill>
    </fill>
    <fill>
      <patternFill patternType="solid">
        <fgColor rgb="FFFF99CC"/>
        <bgColor indexed="64"/>
      </patternFill>
    </fill>
    <fill>
      <patternFill patternType="solid">
        <fgColor rgb="FFFFFF99"/>
        <bgColor indexed="64"/>
      </patternFill>
    </fill>
    <fill>
      <patternFill patternType="solid">
        <fgColor rgb="FFCCFFCC"/>
        <bgColor indexed="64"/>
      </patternFill>
    </fill>
    <fill>
      <patternFill patternType="solid">
        <fgColor rgb="FF99CCFF"/>
        <bgColor indexed="64"/>
      </patternFill>
    </fill>
    <fill>
      <patternFill patternType="solid">
        <fgColor rgb="FFFFCC99"/>
        <bgColor indexed="64"/>
      </patternFill>
    </fill>
    <fill>
      <patternFill patternType="solid">
        <fgColor rgb="FFCCFFFF"/>
        <bgColor indexed="64"/>
      </patternFill>
    </fill>
    <fill>
      <patternFill patternType="solid">
        <fgColor rgb="FF990099"/>
        <bgColor indexed="64"/>
      </patternFill>
    </fill>
    <fill>
      <patternFill patternType="solid">
        <fgColor rgb="FF9999FF"/>
        <bgColor indexed="64"/>
      </patternFill>
    </fill>
    <fill>
      <patternFill patternType="solid">
        <fgColor indexed="26"/>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3">
    <xf numFmtId="0" fontId="0" fillId="0" borderId="0">
      <alignment vertical="center"/>
    </xf>
    <xf numFmtId="9" fontId="1" fillId="0" borderId="0">
      <alignment vertical="center"/>
    </xf>
    <xf numFmtId="38" fontId="1" fillId="0" borderId="0">
      <alignment vertical="center"/>
    </xf>
  </cellStyleXfs>
  <cellXfs count="159">
    <xf numFmtId="0" fontId="0" fillId="0" borderId="0" xfId="0">
      <alignment vertical="center"/>
    </xf>
    <xf numFmtId="0" fontId="3" fillId="0" borderId="0" xfId="0" applyFont="1">
      <alignment vertical="center"/>
    </xf>
    <xf numFmtId="0" fontId="3" fillId="5" borderId="0" xfId="0" applyFont="1" applyFill="1">
      <alignment vertical="center"/>
    </xf>
    <xf numFmtId="0" fontId="3" fillId="8" borderId="0" xfId="0" applyFont="1" applyFill="1">
      <alignment vertical="center"/>
    </xf>
    <xf numFmtId="0" fontId="3" fillId="6" borderId="0" xfId="0" applyFont="1" applyFill="1">
      <alignment vertical="center"/>
    </xf>
    <xf numFmtId="0" fontId="3" fillId="3" borderId="0" xfId="0" applyFont="1" applyFill="1">
      <alignment vertical="center"/>
    </xf>
    <xf numFmtId="0" fontId="3" fillId="9" borderId="0" xfId="0" applyFont="1" applyFill="1">
      <alignment vertical="center"/>
    </xf>
    <xf numFmtId="0" fontId="3" fillId="10" borderId="1" xfId="0" applyFont="1" applyFill="1" applyBorder="1">
      <alignment vertical="center"/>
    </xf>
    <xf numFmtId="0" fontId="3" fillId="11" borderId="0" xfId="0" applyFont="1" applyFill="1">
      <alignment vertical="center"/>
    </xf>
    <xf numFmtId="0" fontId="3" fillId="12" borderId="0" xfId="0" applyFont="1" applyFill="1">
      <alignment vertical="center"/>
    </xf>
    <xf numFmtId="0" fontId="3" fillId="10" borderId="0" xfId="0" applyFont="1" applyFill="1">
      <alignment vertical="center"/>
    </xf>
    <xf numFmtId="0" fontId="3" fillId="2" borderId="1" xfId="0" applyFont="1" applyFill="1" applyBorder="1">
      <alignment vertical="center"/>
    </xf>
    <xf numFmtId="0" fontId="3" fillId="3" borderId="4" xfId="0" applyFont="1" applyFill="1" applyBorder="1">
      <alignment vertical="center"/>
    </xf>
    <xf numFmtId="0" fontId="3" fillId="3" borderId="2" xfId="0" applyFont="1" applyFill="1" applyBorder="1">
      <alignment vertical="center"/>
    </xf>
    <xf numFmtId="0" fontId="5" fillId="3" borderId="3" xfId="0" applyFont="1" applyFill="1" applyBorder="1" applyAlignment="1">
      <alignment horizontal="right"/>
    </xf>
    <xf numFmtId="0" fontId="3" fillId="0" borderId="4" xfId="0" applyFont="1" applyBorder="1">
      <alignment vertical="center"/>
    </xf>
    <xf numFmtId="0" fontId="5" fillId="0" borderId="1" xfId="0" applyFont="1" applyBorder="1" applyAlignment="1">
      <alignment horizontal="right" vertical="center"/>
    </xf>
    <xf numFmtId="0" fontId="3" fillId="0" borderId="2" xfId="0" applyFont="1" applyBorder="1">
      <alignment vertical="center"/>
    </xf>
    <xf numFmtId="176" fontId="3" fillId="0" borderId="1" xfId="0" applyNumberFormat="1" applyFont="1" applyBorder="1">
      <alignment vertical="center"/>
    </xf>
    <xf numFmtId="0" fontId="5" fillId="3" borderId="4" xfId="0" applyFont="1" applyFill="1" applyBorder="1" applyAlignment="1">
      <alignment horizontal="right"/>
    </xf>
    <xf numFmtId="0" fontId="5" fillId="3" borderId="2" xfId="0" applyFont="1" applyFill="1" applyBorder="1" applyAlignment="1">
      <alignment horizontal="right"/>
    </xf>
    <xf numFmtId="177" fontId="5" fillId="0" borderId="4" xfId="0" applyNumberFormat="1" applyFont="1" applyBorder="1">
      <alignment vertical="center"/>
    </xf>
    <xf numFmtId="0" fontId="3" fillId="0" borderId="6" xfId="0" applyFont="1" applyBorder="1">
      <alignment vertical="center"/>
    </xf>
    <xf numFmtId="0" fontId="3" fillId="0" borderId="5" xfId="0" applyFont="1" applyBorder="1">
      <alignment vertical="center"/>
    </xf>
    <xf numFmtId="0" fontId="3" fillId="4" borderId="4" xfId="0" applyFont="1" applyFill="1" applyBorder="1" applyAlignment="1">
      <alignment horizontal="left" vertical="center"/>
    </xf>
    <xf numFmtId="0" fontId="3" fillId="4" borderId="2" xfId="0" applyFont="1" applyFill="1" applyBorder="1">
      <alignment vertical="center"/>
    </xf>
    <xf numFmtId="0" fontId="5" fillId="4" borderId="3" xfId="0" applyFont="1" applyFill="1" applyBorder="1" applyAlignment="1">
      <alignment horizontal="right"/>
    </xf>
    <xf numFmtId="0" fontId="3" fillId="7" borderId="4" xfId="0" applyFont="1" applyFill="1" applyBorder="1" applyAlignment="1">
      <alignment horizontal="left" vertical="center"/>
    </xf>
    <xf numFmtId="0" fontId="3" fillId="7" borderId="2" xfId="0" applyFont="1" applyFill="1" applyBorder="1">
      <alignment vertical="center"/>
    </xf>
    <xf numFmtId="0" fontId="5" fillId="7" borderId="3" xfId="0" applyFont="1" applyFill="1" applyBorder="1" applyAlignment="1">
      <alignment horizontal="right"/>
    </xf>
    <xf numFmtId="0" fontId="3" fillId="9" borderId="4" xfId="0" applyFont="1" applyFill="1" applyBorder="1" applyAlignment="1">
      <alignment horizontal="left" vertical="center"/>
    </xf>
    <xf numFmtId="0" fontId="3" fillId="9" borderId="2" xfId="0" applyFont="1" applyFill="1" applyBorder="1">
      <alignment vertical="center"/>
    </xf>
    <xf numFmtId="0" fontId="5" fillId="9" borderId="3" xfId="0" applyFont="1" applyFill="1" applyBorder="1" applyAlignment="1">
      <alignment horizontal="right"/>
    </xf>
    <xf numFmtId="0" fontId="3" fillId="11" borderId="4" xfId="0" applyFont="1" applyFill="1" applyBorder="1" applyAlignment="1">
      <alignment horizontal="left" vertical="center"/>
    </xf>
    <xf numFmtId="0" fontId="3" fillId="11" borderId="2" xfId="0" applyFont="1" applyFill="1" applyBorder="1">
      <alignment vertical="center"/>
    </xf>
    <xf numFmtId="0" fontId="5" fillId="11" borderId="3" xfId="0" applyFont="1" applyFill="1" applyBorder="1" applyAlignment="1">
      <alignment horizontal="right"/>
    </xf>
    <xf numFmtId="0" fontId="3" fillId="12" borderId="4" xfId="0" applyFont="1" applyFill="1" applyBorder="1" applyAlignment="1">
      <alignment horizontal="left" vertical="center"/>
    </xf>
    <xf numFmtId="0" fontId="3" fillId="12" borderId="2" xfId="0" applyFont="1" applyFill="1" applyBorder="1">
      <alignment vertical="center"/>
    </xf>
    <xf numFmtId="0" fontId="5" fillId="12" borderId="3" xfId="0" applyFont="1" applyFill="1" applyBorder="1" applyAlignment="1">
      <alignment horizontal="right"/>
    </xf>
    <xf numFmtId="0" fontId="5" fillId="0" borderId="1" xfId="0" applyFont="1" applyBorder="1" applyAlignment="1">
      <alignment horizontal="right"/>
    </xf>
    <xf numFmtId="0" fontId="5" fillId="4" borderId="4" xfId="0" applyFont="1" applyFill="1" applyBorder="1" applyAlignment="1">
      <alignment horizontal="right"/>
    </xf>
    <xf numFmtId="0" fontId="5" fillId="4" borderId="2" xfId="0" applyFont="1" applyFill="1" applyBorder="1" applyAlignment="1">
      <alignment horizontal="right"/>
    </xf>
    <xf numFmtId="0" fontId="5" fillId="7" borderId="4" xfId="0" applyFont="1" applyFill="1" applyBorder="1" applyAlignment="1">
      <alignment horizontal="right"/>
    </xf>
    <xf numFmtId="0" fontId="5" fillId="7" borderId="2" xfId="0" applyFont="1" applyFill="1" applyBorder="1" applyAlignment="1">
      <alignment horizontal="right"/>
    </xf>
    <xf numFmtId="0" fontId="5" fillId="9" borderId="4" xfId="0" applyFont="1" applyFill="1" applyBorder="1" applyAlignment="1">
      <alignment horizontal="right"/>
    </xf>
    <xf numFmtId="0" fontId="5" fillId="9" borderId="2" xfId="0" applyFont="1" applyFill="1" applyBorder="1" applyAlignment="1">
      <alignment horizontal="right"/>
    </xf>
    <xf numFmtId="0" fontId="5" fillId="11" borderId="4" xfId="0" applyFont="1" applyFill="1" applyBorder="1" applyAlignment="1">
      <alignment horizontal="right"/>
    </xf>
    <xf numFmtId="0" fontId="5" fillId="11" borderId="2" xfId="0" applyFont="1" applyFill="1" applyBorder="1" applyAlignment="1">
      <alignment horizontal="right"/>
    </xf>
    <xf numFmtId="0" fontId="5" fillId="12" borderId="4" xfId="0" applyFont="1" applyFill="1" applyBorder="1" applyAlignment="1">
      <alignment horizontal="right"/>
    </xf>
    <xf numFmtId="0" fontId="5" fillId="12" borderId="2" xfId="0" applyFont="1" applyFill="1" applyBorder="1" applyAlignment="1">
      <alignment horizontal="right"/>
    </xf>
    <xf numFmtId="38" fontId="3" fillId="0" borderId="0" xfId="2" applyFont="1">
      <alignment vertical="center"/>
    </xf>
    <xf numFmtId="38" fontId="4" fillId="5" borderId="3" xfId="2" applyFont="1" applyFill="1" applyBorder="1">
      <alignment vertical="center"/>
    </xf>
    <xf numFmtId="38" fontId="4" fillId="0" borderId="3" xfId="2" applyFont="1" applyBorder="1">
      <alignment vertical="center"/>
    </xf>
    <xf numFmtId="178" fontId="4" fillId="0" borderId="1" xfId="0" applyNumberFormat="1" applyFont="1" applyBorder="1" applyAlignment="1">
      <alignment horizontal="right" vertical="center"/>
    </xf>
    <xf numFmtId="176" fontId="4" fillId="0" borderId="3" xfId="0" applyNumberFormat="1" applyFont="1" applyBorder="1">
      <alignment vertical="center"/>
    </xf>
    <xf numFmtId="176" fontId="4" fillId="0" borderId="1" xfId="0" applyNumberFormat="1" applyFont="1" applyBorder="1">
      <alignment vertical="center"/>
    </xf>
    <xf numFmtId="38" fontId="4" fillId="5" borderId="1" xfId="2" applyFont="1" applyFill="1" applyBorder="1">
      <alignment vertical="center"/>
    </xf>
    <xf numFmtId="38" fontId="4" fillId="0" borderId="1" xfId="2" applyFont="1" applyBorder="1">
      <alignment vertical="center"/>
    </xf>
    <xf numFmtId="178" fontId="4" fillId="0" borderId="4" xfId="1" applyNumberFormat="1" applyFont="1" applyBorder="1">
      <alignment vertical="center"/>
    </xf>
    <xf numFmtId="0" fontId="4" fillId="0" borderId="4" xfId="0" applyFont="1" applyBorder="1">
      <alignment vertical="center"/>
    </xf>
    <xf numFmtId="0" fontId="4" fillId="0" borderId="1" xfId="0" applyFont="1" applyBorder="1">
      <alignment vertical="center"/>
    </xf>
    <xf numFmtId="178" fontId="4" fillId="0" borderId="1" xfId="1" applyNumberFormat="1" applyFont="1" applyBorder="1">
      <alignment vertical="center"/>
    </xf>
    <xf numFmtId="38" fontId="4" fillId="5" borderId="4" xfId="2" applyFont="1" applyFill="1" applyBorder="1">
      <alignment vertical="center"/>
    </xf>
    <xf numFmtId="0" fontId="4" fillId="0" borderId="3" xfId="0" applyFont="1" applyBorder="1">
      <alignment vertical="center"/>
    </xf>
    <xf numFmtId="38" fontId="4" fillId="0" borderId="4" xfId="2" applyFont="1" applyBorder="1">
      <alignment vertical="center"/>
    </xf>
    <xf numFmtId="0" fontId="4" fillId="5" borderId="1" xfId="0" applyFont="1" applyFill="1" applyBorder="1" applyAlignment="1">
      <alignment horizontal="right" vertical="center"/>
    </xf>
    <xf numFmtId="0" fontId="3" fillId="10" borderId="7" xfId="0" applyFont="1" applyFill="1" applyBorder="1">
      <alignment vertical="center"/>
    </xf>
    <xf numFmtId="0" fontId="3" fillId="10" borderId="6" xfId="0" applyFont="1" applyFill="1" applyBorder="1">
      <alignment vertical="center"/>
    </xf>
    <xf numFmtId="0" fontId="3" fillId="10" borderId="8" xfId="0" applyFont="1" applyFill="1" applyBorder="1">
      <alignment vertical="center"/>
    </xf>
    <xf numFmtId="0" fontId="5" fillId="8" borderId="1" xfId="0" applyFont="1" applyFill="1" applyBorder="1" applyAlignment="1">
      <alignment horizontal="right" vertical="center"/>
    </xf>
    <xf numFmtId="0" fontId="5" fillId="6" borderId="1" xfId="0" applyFont="1" applyFill="1" applyBorder="1" applyAlignment="1">
      <alignment horizontal="right" vertical="center"/>
    </xf>
    <xf numFmtId="0" fontId="5" fillId="9" borderId="1" xfId="0" applyFont="1" applyFill="1" applyBorder="1" applyAlignment="1">
      <alignment horizontal="right" vertical="center"/>
    </xf>
    <xf numFmtId="0" fontId="5" fillId="11" borderId="1" xfId="0" applyFont="1" applyFill="1" applyBorder="1" applyAlignment="1">
      <alignment horizontal="right" vertical="center"/>
    </xf>
    <xf numFmtId="0" fontId="5" fillId="12" borderId="1" xfId="0" applyFont="1" applyFill="1" applyBorder="1" applyAlignment="1">
      <alignment horizontal="right" vertical="center"/>
    </xf>
    <xf numFmtId="0" fontId="5" fillId="0" borderId="1" xfId="0" applyFont="1" applyBorder="1">
      <alignment vertical="center"/>
    </xf>
    <xf numFmtId="38" fontId="5" fillId="0" borderId="1" xfId="0" applyNumberFormat="1" applyFont="1" applyBorder="1" applyAlignment="1">
      <alignment horizontal="right" vertical="center"/>
    </xf>
    <xf numFmtId="178" fontId="5" fillId="0" borderId="1" xfId="1" applyNumberFormat="1" applyFont="1" applyBorder="1">
      <alignment vertical="center"/>
    </xf>
    <xf numFmtId="0" fontId="3" fillId="0" borderId="9" xfId="0" applyFont="1" applyBorder="1">
      <alignment vertical="center"/>
    </xf>
    <xf numFmtId="0" fontId="5" fillId="0" borderId="0" xfId="0" applyFont="1">
      <alignment vertical="center"/>
    </xf>
    <xf numFmtId="0" fontId="5" fillId="0" borderId="9" xfId="0" applyFont="1" applyBorder="1" applyAlignment="1">
      <alignment horizontal="right" vertical="center"/>
    </xf>
    <xf numFmtId="0" fontId="5" fillId="0" borderId="0" xfId="0" applyFont="1" applyAlignment="1">
      <alignment horizontal="right" vertical="center"/>
    </xf>
    <xf numFmtId="178" fontId="5" fillId="0" borderId="9" xfId="1" applyNumberFormat="1" applyFont="1" applyBorder="1">
      <alignment vertical="center"/>
    </xf>
    <xf numFmtId="178" fontId="5" fillId="0" borderId="0" xfId="1" applyNumberFormat="1" applyFont="1">
      <alignment vertical="center"/>
    </xf>
    <xf numFmtId="0" fontId="5" fillId="10" borderId="8" xfId="0" applyFont="1" applyFill="1" applyBorder="1" applyAlignment="1">
      <alignment horizontal="right" vertical="center"/>
    </xf>
    <xf numFmtId="0" fontId="5" fillId="10" borderId="6" xfId="0" applyFont="1" applyFill="1" applyBorder="1">
      <alignment vertical="center"/>
    </xf>
    <xf numFmtId="179" fontId="5" fillId="0" borderId="1" xfId="0" applyNumberFormat="1" applyFont="1" applyBorder="1" applyAlignment="1">
      <alignment horizontal="right" vertical="center"/>
    </xf>
    <xf numFmtId="178" fontId="5" fillId="0" borderId="1" xfId="0" applyNumberFormat="1" applyFont="1" applyBorder="1">
      <alignment vertical="center"/>
    </xf>
    <xf numFmtId="176" fontId="5" fillId="0" borderId="1" xfId="0" applyNumberFormat="1" applyFont="1" applyBorder="1" applyAlignment="1">
      <alignment horizontal="right" vertical="center"/>
    </xf>
    <xf numFmtId="2" fontId="3" fillId="0" borderId="2" xfId="0" applyNumberFormat="1" applyFont="1" applyBorder="1">
      <alignment vertical="center"/>
    </xf>
    <xf numFmtId="2" fontId="4" fillId="0" borderId="2" xfId="0" applyNumberFormat="1" applyFont="1" applyBorder="1">
      <alignment vertical="center"/>
    </xf>
    <xf numFmtId="1" fontId="3" fillId="0" borderId="6" xfId="0" applyNumberFormat="1" applyFont="1" applyBorder="1">
      <alignment vertical="center"/>
    </xf>
    <xf numFmtId="178" fontId="1" fillId="0" borderId="0" xfId="1" applyNumberFormat="1">
      <alignment vertical="center"/>
    </xf>
    <xf numFmtId="0" fontId="0" fillId="13" borderId="0" xfId="0" applyFill="1">
      <alignment vertical="center"/>
    </xf>
    <xf numFmtId="0" fontId="0" fillId="14" borderId="0" xfId="0" applyFill="1">
      <alignment vertical="center"/>
    </xf>
    <xf numFmtId="0" fontId="4" fillId="0" borderId="1" xfId="0" applyFont="1" applyBorder="1" applyAlignment="1">
      <alignment horizontal="right" vertical="center"/>
    </xf>
    <xf numFmtId="0" fontId="0" fillId="0" borderId="0" xfId="0" applyAlignment="1">
      <alignment horizontal="center" vertical="center" wrapText="1"/>
    </xf>
    <xf numFmtId="0" fontId="3" fillId="0" borderId="1" xfId="0" applyFont="1" applyBorder="1">
      <alignment vertical="center"/>
    </xf>
    <xf numFmtId="0" fontId="3" fillId="3" borderId="3" xfId="0" applyFont="1" applyFill="1" applyBorder="1">
      <alignment vertical="center"/>
    </xf>
    <xf numFmtId="38" fontId="5" fillId="0" borderId="0" xfId="0" applyNumberFormat="1" applyFont="1" applyAlignment="1">
      <alignment horizontal="right" vertical="center"/>
    </xf>
    <xf numFmtId="38" fontId="4" fillId="0" borderId="0" xfId="2" applyFont="1">
      <alignment vertical="center"/>
    </xf>
    <xf numFmtId="180" fontId="6" fillId="15" borderId="10" xfId="0" applyNumberFormat="1" applyFont="1" applyFill="1" applyBorder="1" applyAlignment="1" applyProtection="1">
      <protection locked="0"/>
    </xf>
    <xf numFmtId="180" fontId="6" fillId="15" borderId="8" xfId="0" applyNumberFormat="1" applyFont="1" applyFill="1" applyBorder="1" applyAlignment="1" applyProtection="1">
      <protection locked="0"/>
    </xf>
    <xf numFmtId="180" fontId="6" fillId="15" borderId="3" xfId="0" applyNumberFormat="1" applyFont="1" applyFill="1" applyBorder="1" applyAlignment="1" applyProtection="1">
      <protection locked="0"/>
    </xf>
    <xf numFmtId="180" fontId="6" fillId="15" borderId="11" xfId="0" applyNumberFormat="1" applyFont="1" applyFill="1" applyBorder="1" applyAlignment="1" applyProtection="1">
      <protection locked="0"/>
    </xf>
    <xf numFmtId="180" fontId="6" fillId="15" borderId="2" xfId="0" applyNumberFormat="1" applyFont="1" applyFill="1" applyBorder="1" applyAlignment="1" applyProtection="1">
      <protection locked="0"/>
    </xf>
    <xf numFmtId="180" fontId="6" fillId="15" borderId="12" xfId="0" applyNumberFormat="1" applyFont="1" applyFill="1" applyBorder="1" applyAlignment="1" applyProtection="1">
      <alignment horizontal="right"/>
      <protection locked="0"/>
    </xf>
    <xf numFmtId="180" fontId="6" fillId="15" borderId="1" xfId="0" applyNumberFormat="1" applyFont="1" applyFill="1" applyBorder="1" applyAlignment="1" applyProtection="1">
      <alignment horizontal="right"/>
      <protection locked="0"/>
    </xf>
    <xf numFmtId="180" fontId="6" fillId="15" borderId="1" xfId="0" applyNumberFormat="1" applyFont="1" applyFill="1" applyBorder="1" applyAlignment="1" applyProtection="1">
      <protection locked="0"/>
    </xf>
    <xf numFmtId="180" fontId="6" fillId="15" borderId="3" xfId="0" applyNumberFormat="1" applyFont="1" applyFill="1" applyBorder="1" applyAlignment="1" applyProtection="1">
      <alignment horizontal="right"/>
      <protection locked="0"/>
    </xf>
    <xf numFmtId="180" fontId="6" fillId="15" borderId="5" xfId="0" applyNumberFormat="1" applyFont="1" applyFill="1" applyBorder="1" applyAlignment="1" applyProtection="1">
      <protection locked="0"/>
    </xf>
    <xf numFmtId="181" fontId="7" fillId="15" borderId="13" xfId="0" applyNumberFormat="1" applyFont="1" applyFill="1" applyBorder="1" applyAlignment="1" applyProtection="1">
      <protection locked="0"/>
    </xf>
    <xf numFmtId="181" fontId="7" fillId="15" borderId="4" xfId="0" applyNumberFormat="1" applyFont="1" applyFill="1" applyBorder="1" applyAlignment="1" applyProtection="1">
      <protection locked="0"/>
    </xf>
    <xf numFmtId="181" fontId="7" fillId="15" borderId="7" xfId="0" applyNumberFormat="1" applyFont="1" applyFill="1" applyBorder="1" applyAlignment="1" applyProtection="1">
      <protection locked="0"/>
    </xf>
    <xf numFmtId="0" fontId="3" fillId="10" borderId="9" xfId="0" applyFont="1" applyFill="1" applyBorder="1">
      <alignment vertical="center"/>
    </xf>
    <xf numFmtId="0" fontId="5" fillId="10" borderId="10" xfId="0" applyFont="1" applyFill="1" applyBorder="1" applyAlignment="1">
      <alignment horizontal="right" vertical="center"/>
    </xf>
    <xf numFmtId="9" fontId="1" fillId="0" borderId="1" xfId="1" applyBorder="1">
      <alignment vertical="center"/>
    </xf>
    <xf numFmtId="0" fontId="0" fillId="0" borderId="0" xfId="0" applyAlignment="1"/>
    <xf numFmtId="0" fontId="5" fillId="0" borderId="3" xfId="0" applyFont="1" applyBorder="1" applyAlignment="1">
      <alignment horizontal="right"/>
    </xf>
    <xf numFmtId="180" fontId="6" fillId="0" borderId="10" xfId="0" applyNumberFormat="1" applyFont="1" applyBorder="1" applyAlignment="1" applyProtection="1">
      <protection locked="0"/>
    </xf>
    <xf numFmtId="180" fontId="6" fillId="0" borderId="8" xfId="0" applyNumberFormat="1" applyFont="1" applyBorder="1" applyAlignment="1" applyProtection="1">
      <protection locked="0"/>
    </xf>
    <xf numFmtId="180" fontId="6" fillId="0" borderId="3" xfId="0" applyNumberFormat="1" applyFont="1" applyBorder="1" applyAlignment="1" applyProtection="1">
      <protection locked="0"/>
    </xf>
    <xf numFmtId="180" fontId="6" fillId="0" borderId="11" xfId="0" applyNumberFormat="1" applyFont="1" applyBorder="1" applyAlignment="1" applyProtection="1">
      <protection locked="0"/>
    </xf>
    <xf numFmtId="180" fontId="6" fillId="0" borderId="2" xfId="0" applyNumberFormat="1" applyFont="1" applyBorder="1" applyAlignment="1" applyProtection="1">
      <protection locked="0"/>
    </xf>
    <xf numFmtId="0" fontId="5" fillId="0" borderId="4" xfId="0" applyFont="1" applyBorder="1" applyAlignment="1">
      <alignment horizontal="right"/>
    </xf>
    <xf numFmtId="0" fontId="5" fillId="0" borderId="2" xfId="0" applyFont="1" applyBorder="1" applyAlignment="1">
      <alignment horizontal="right"/>
    </xf>
    <xf numFmtId="180" fontId="6" fillId="0" borderId="1" xfId="0" applyNumberFormat="1" applyFont="1" applyBorder="1" applyAlignment="1" applyProtection="1">
      <alignment horizontal="right"/>
      <protection locked="0"/>
    </xf>
    <xf numFmtId="180" fontId="6" fillId="0" borderId="5" xfId="0" applyNumberFormat="1" applyFont="1" applyBorder="1" applyAlignment="1" applyProtection="1">
      <protection locked="0"/>
    </xf>
    <xf numFmtId="0" fontId="3" fillId="0" borderId="4" xfId="0" applyFont="1" applyBorder="1" applyAlignment="1">
      <alignment horizontal="left" vertical="center"/>
    </xf>
    <xf numFmtId="181" fontId="7" fillId="0" borderId="13" xfId="0" applyNumberFormat="1" applyFont="1" applyBorder="1" applyAlignment="1" applyProtection="1">
      <protection locked="0"/>
    </xf>
    <xf numFmtId="181" fontId="7" fillId="0" borderId="4" xfId="0" applyNumberFormat="1" applyFont="1" applyBorder="1" applyAlignment="1" applyProtection="1">
      <protection locked="0"/>
    </xf>
    <xf numFmtId="181" fontId="7" fillId="0" borderId="7" xfId="0" applyNumberFormat="1" applyFont="1" applyBorder="1" applyAlignment="1" applyProtection="1">
      <protection locked="0"/>
    </xf>
    <xf numFmtId="0" fontId="3" fillId="0" borderId="3" xfId="0" applyFont="1" applyBorder="1">
      <alignment vertical="center"/>
    </xf>
    <xf numFmtId="0" fontId="4" fillId="16" borderId="1" xfId="0" applyFont="1" applyFill="1" applyBorder="1" applyAlignment="1">
      <alignment horizontal="right" vertical="center"/>
    </xf>
    <xf numFmtId="180" fontId="6" fillId="16" borderId="10" xfId="0" applyNumberFormat="1" applyFont="1" applyFill="1" applyBorder="1" applyAlignment="1" applyProtection="1">
      <protection locked="0"/>
    </xf>
    <xf numFmtId="180" fontId="6" fillId="16" borderId="8" xfId="0" applyNumberFormat="1" applyFont="1" applyFill="1" applyBorder="1" applyAlignment="1" applyProtection="1">
      <protection locked="0"/>
    </xf>
    <xf numFmtId="180" fontId="6" fillId="16" borderId="3" xfId="0" applyNumberFormat="1" applyFont="1" applyFill="1" applyBorder="1" applyAlignment="1" applyProtection="1">
      <protection locked="0"/>
    </xf>
    <xf numFmtId="180" fontId="6" fillId="16" borderId="11" xfId="0" applyNumberFormat="1" applyFont="1" applyFill="1" applyBorder="1" applyAlignment="1" applyProtection="1">
      <protection locked="0"/>
    </xf>
    <xf numFmtId="180" fontId="6" fillId="16" borderId="2" xfId="0" applyNumberFormat="1" applyFont="1" applyFill="1" applyBorder="1" applyAlignment="1" applyProtection="1">
      <protection locked="0"/>
    </xf>
    <xf numFmtId="38" fontId="4" fillId="16" borderId="3" xfId="2" applyFont="1" applyFill="1" applyBorder="1">
      <alignment vertical="center"/>
    </xf>
    <xf numFmtId="180" fontId="6" fillId="16" borderId="12" xfId="0" applyNumberFormat="1" applyFont="1" applyFill="1" applyBorder="1" applyAlignment="1" applyProtection="1">
      <alignment horizontal="right"/>
      <protection locked="0"/>
    </xf>
    <xf numFmtId="180" fontId="6" fillId="16" borderId="1" xfId="0" applyNumberFormat="1" applyFont="1" applyFill="1" applyBorder="1" applyAlignment="1" applyProtection="1">
      <alignment horizontal="right"/>
      <protection locked="0"/>
    </xf>
    <xf numFmtId="38" fontId="4" fillId="16" borderId="1" xfId="2" applyFont="1" applyFill="1" applyBorder="1">
      <alignment vertical="center"/>
    </xf>
    <xf numFmtId="180" fontId="6" fillId="16" borderId="1" xfId="0" applyNumberFormat="1" applyFont="1" applyFill="1" applyBorder="1" applyAlignment="1" applyProtection="1">
      <protection locked="0"/>
    </xf>
    <xf numFmtId="180" fontId="6" fillId="16" borderId="3" xfId="0" applyNumberFormat="1" applyFont="1" applyFill="1" applyBorder="1" applyAlignment="1" applyProtection="1">
      <alignment horizontal="right"/>
      <protection locked="0"/>
    </xf>
    <xf numFmtId="0" fontId="0" fillId="0" borderId="1" xfId="0" applyBorder="1">
      <alignment vertical="center"/>
    </xf>
    <xf numFmtId="0" fontId="0" fillId="0" borderId="1" xfId="0" applyBorder="1" applyAlignment="1">
      <alignment horizontal="center" vertical="center"/>
    </xf>
    <xf numFmtId="14" fontId="4" fillId="5" borderId="1" xfId="0" applyNumberFormat="1" applyFont="1" applyFill="1" applyBorder="1" applyAlignment="1">
      <alignment horizontal="right" vertical="center"/>
    </xf>
    <xf numFmtId="0" fontId="0" fillId="0" borderId="3" xfId="0" applyBorder="1" applyAlignment="1"/>
    <xf numFmtId="0" fontId="6" fillId="15" borderId="1" xfId="0" applyFont="1" applyFill="1" applyBorder="1" applyAlignment="1" applyProtection="1">
      <protection locked="0"/>
    </xf>
    <xf numFmtId="0" fontId="0" fillId="0" borderId="3" xfId="0" applyBorder="1" applyAlignment="1" applyProtection="1">
      <protection locked="0"/>
    </xf>
    <xf numFmtId="0" fontId="3" fillId="10" borderId="1" xfId="0" applyFont="1" applyFill="1" applyBorder="1" applyAlignment="1">
      <alignment horizontal="left" vertical="center"/>
    </xf>
    <xf numFmtId="0" fontId="4" fillId="0" borderId="1" xfId="0" applyFont="1" applyBorder="1" applyAlignment="1">
      <alignment horizontal="left" vertical="center"/>
    </xf>
    <xf numFmtId="14" fontId="4" fillId="0" borderId="1" xfId="0" applyNumberFormat="1" applyFont="1" applyBorder="1" applyAlignment="1">
      <alignment horizontal="righ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6" fillId="16" borderId="1" xfId="0" applyFont="1" applyFill="1" applyBorder="1" applyAlignment="1" applyProtection="1">
      <alignment vertical="center"/>
      <protection locked="0"/>
    </xf>
    <xf numFmtId="0" fontId="0" fillId="16" borderId="3" xfId="0" applyFill="1" applyBorder="1" applyAlignment="1" applyProtection="1">
      <alignment vertical="center"/>
      <protection locked="0"/>
    </xf>
  </cellXfs>
  <cellStyles count="3">
    <cellStyle name="パーセント" xfId="1" builtinId="5"/>
    <cellStyle name="桁区切り" xfId="2"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barChart>
        <c:barDir val="col"/>
        <c:grouping val="clustered"/>
        <c:varyColors val="0"/>
        <c:ser>
          <c:idx val="0"/>
          <c:order val="0"/>
          <c:tx>
            <c:v>４期前</c:v>
          </c:tx>
          <c:spPr>
            <a:solidFill>
              <a:srgbClr val="FFFF99"/>
            </a:solidFill>
            <a:ln>
              <a:noFill/>
              <a:prstDash val="solid"/>
            </a:ln>
          </c:spPr>
          <c:invertIfNegative val="0"/>
          <c:cat>
            <c:strRef>
              <c:f>(決算分析!$B$53,決算分析!$B$57,決算分析!$B$61,決算分析!$B$65,決算分析!$B$69,決算分析!$B$73,決算分析!$B$77)</c:f>
              <c:strCache>
                <c:ptCount val="7"/>
                <c:pt idx="0">
                  <c:v>売上</c:v>
                </c:pt>
                <c:pt idx="1">
                  <c:v>経常利益</c:v>
                </c:pt>
                <c:pt idx="2">
                  <c:v>株価</c:v>
                </c:pt>
                <c:pt idx="3">
                  <c:v>発行株数</c:v>
                </c:pt>
                <c:pt idx="4">
                  <c:v>時価総額</c:v>
                </c:pt>
                <c:pt idx="5">
                  <c:v>ＥＰＳ</c:v>
                </c:pt>
                <c:pt idx="6">
                  <c:v>現金残</c:v>
                </c:pt>
              </c:strCache>
            </c:strRef>
          </c:cat>
          <c:val>
            <c:numRef>
              <c:f>(決算分析!$M$54,決算分析!$M$58,決算分析!$M$62,決算分析!$M$66,決算分析!$M$70,決算分析!$M$74,決算分析!$M$78)</c:f>
              <c:numCache>
                <c:formatCode>0.0%</c:formatCode>
                <c:ptCount val="7"/>
                <c:pt idx="0">
                  <c:v>1</c:v>
                </c:pt>
                <c:pt idx="1">
                  <c:v>1</c:v>
                </c:pt>
                <c:pt idx="2">
                  <c:v>0</c:v>
                </c:pt>
                <c:pt idx="3">
                  <c:v>1</c:v>
                </c:pt>
                <c:pt idx="4">
                  <c:v>0</c:v>
                </c:pt>
                <c:pt idx="5">
                  <c:v>1</c:v>
                </c:pt>
                <c:pt idx="6">
                  <c:v>1</c:v>
                </c:pt>
              </c:numCache>
            </c:numRef>
          </c:val>
          <c:extLst>
            <c:ext xmlns:c16="http://schemas.microsoft.com/office/drawing/2014/chart" uri="{C3380CC4-5D6E-409C-BE32-E72D297353CC}">
              <c16:uniqueId val="{00000000-1AAD-465C-859F-CF88B7AC96DE}"/>
            </c:ext>
          </c:extLst>
        </c:ser>
        <c:ser>
          <c:idx val="1"/>
          <c:order val="1"/>
          <c:tx>
            <c:v>３期前</c:v>
          </c:tx>
          <c:spPr>
            <a:solidFill>
              <a:srgbClr val="FF99FF"/>
            </a:solidFill>
            <a:ln>
              <a:noFill/>
              <a:prstDash val="solid"/>
            </a:ln>
          </c:spPr>
          <c:invertIfNegative val="0"/>
          <c:cat>
            <c:strRef>
              <c:f>(決算分析!$B$53,決算分析!$B$57,決算分析!$B$61,決算分析!$B$65,決算分析!$B$69,決算分析!$B$73,決算分析!$B$77)</c:f>
              <c:strCache>
                <c:ptCount val="7"/>
                <c:pt idx="0">
                  <c:v>売上</c:v>
                </c:pt>
                <c:pt idx="1">
                  <c:v>経常利益</c:v>
                </c:pt>
                <c:pt idx="2">
                  <c:v>株価</c:v>
                </c:pt>
                <c:pt idx="3">
                  <c:v>発行株数</c:v>
                </c:pt>
                <c:pt idx="4">
                  <c:v>時価総額</c:v>
                </c:pt>
                <c:pt idx="5">
                  <c:v>ＥＰＳ</c:v>
                </c:pt>
                <c:pt idx="6">
                  <c:v>現金残</c:v>
                </c:pt>
              </c:strCache>
            </c:strRef>
          </c:cat>
          <c:val>
            <c:numRef>
              <c:f>(決算分析!$N$54,決算分析!$N$58,決算分析!$N$62,決算分析!$N$66,決算分析!$N$70,決算分析!$N$74,決算分析!$N$78)</c:f>
              <c:numCache>
                <c:formatCode>0.0%</c:formatCode>
                <c:ptCount val="7"/>
                <c:pt idx="0">
                  <c:v>0.89765809830139021</c:v>
                </c:pt>
                <c:pt idx="1">
                  <c:v>0.62861617836742212</c:v>
                </c:pt>
                <c:pt idx="2">
                  <c:v>0</c:v>
                </c:pt>
                <c:pt idx="3">
                  <c:v>1</c:v>
                </c:pt>
                <c:pt idx="4">
                  <c:v>0</c:v>
                </c:pt>
                <c:pt idx="5">
                  <c:v>0.62861617836742212</c:v>
                </c:pt>
                <c:pt idx="6">
                  <c:v>0.89329667013178637</c:v>
                </c:pt>
              </c:numCache>
            </c:numRef>
          </c:val>
          <c:extLst>
            <c:ext xmlns:c16="http://schemas.microsoft.com/office/drawing/2014/chart" uri="{C3380CC4-5D6E-409C-BE32-E72D297353CC}">
              <c16:uniqueId val="{00000001-1AAD-465C-859F-CF88B7AC96DE}"/>
            </c:ext>
          </c:extLst>
        </c:ser>
        <c:ser>
          <c:idx val="2"/>
          <c:order val="2"/>
          <c:tx>
            <c:v>２期前</c:v>
          </c:tx>
          <c:spPr>
            <a:solidFill>
              <a:srgbClr val="CCFFCC"/>
            </a:solidFill>
            <a:ln>
              <a:noFill/>
              <a:prstDash val="solid"/>
            </a:ln>
          </c:spPr>
          <c:invertIfNegative val="0"/>
          <c:cat>
            <c:strRef>
              <c:f>(決算分析!$B$53,決算分析!$B$57,決算分析!$B$61,決算分析!$B$65,決算分析!$B$69,決算分析!$B$73,決算分析!$B$77)</c:f>
              <c:strCache>
                <c:ptCount val="7"/>
                <c:pt idx="0">
                  <c:v>売上</c:v>
                </c:pt>
                <c:pt idx="1">
                  <c:v>経常利益</c:v>
                </c:pt>
                <c:pt idx="2">
                  <c:v>株価</c:v>
                </c:pt>
                <c:pt idx="3">
                  <c:v>発行株数</c:v>
                </c:pt>
                <c:pt idx="4">
                  <c:v>時価総額</c:v>
                </c:pt>
                <c:pt idx="5">
                  <c:v>ＥＰＳ</c:v>
                </c:pt>
                <c:pt idx="6">
                  <c:v>現金残</c:v>
                </c:pt>
              </c:strCache>
            </c:strRef>
          </c:cat>
          <c:val>
            <c:numRef>
              <c:f>(決算分析!$O$54,決算分析!$O$58,決算分析!$O$62,決算分析!$O$66,決算分析!$O$70,決算分析!$O$74,決算分析!$O$78)</c:f>
              <c:numCache>
                <c:formatCode>0.0%</c:formatCode>
                <c:ptCount val="7"/>
                <c:pt idx="0">
                  <c:v>0.98233457679482294</c:v>
                </c:pt>
                <c:pt idx="1">
                  <c:v>0.98051409618573793</c:v>
                </c:pt>
                <c:pt idx="2">
                  <c:v>0</c:v>
                </c:pt>
                <c:pt idx="3">
                  <c:v>1</c:v>
                </c:pt>
                <c:pt idx="4">
                  <c:v>0</c:v>
                </c:pt>
                <c:pt idx="5">
                  <c:v>0.98051409618573804</c:v>
                </c:pt>
                <c:pt idx="6">
                  <c:v>1.0584375663682193</c:v>
                </c:pt>
              </c:numCache>
            </c:numRef>
          </c:val>
          <c:extLst>
            <c:ext xmlns:c16="http://schemas.microsoft.com/office/drawing/2014/chart" uri="{C3380CC4-5D6E-409C-BE32-E72D297353CC}">
              <c16:uniqueId val="{00000002-1AAD-465C-859F-CF88B7AC96DE}"/>
            </c:ext>
          </c:extLst>
        </c:ser>
        <c:ser>
          <c:idx val="3"/>
          <c:order val="3"/>
          <c:tx>
            <c:v>前期</c:v>
          </c:tx>
          <c:spPr>
            <a:solidFill>
              <a:srgbClr val="FFCC99"/>
            </a:solidFill>
            <a:ln>
              <a:noFill/>
              <a:prstDash val="solid"/>
            </a:ln>
          </c:spPr>
          <c:invertIfNegative val="0"/>
          <c:cat>
            <c:strRef>
              <c:f>(決算分析!$B$53,決算分析!$B$57,決算分析!$B$61,決算分析!$B$65,決算分析!$B$69,決算分析!$B$73,決算分析!$B$77)</c:f>
              <c:strCache>
                <c:ptCount val="7"/>
                <c:pt idx="0">
                  <c:v>売上</c:v>
                </c:pt>
                <c:pt idx="1">
                  <c:v>経常利益</c:v>
                </c:pt>
                <c:pt idx="2">
                  <c:v>株価</c:v>
                </c:pt>
                <c:pt idx="3">
                  <c:v>発行株数</c:v>
                </c:pt>
                <c:pt idx="4">
                  <c:v>時価総額</c:v>
                </c:pt>
                <c:pt idx="5">
                  <c:v>ＥＰＳ</c:v>
                </c:pt>
                <c:pt idx="6">
                  <c:v>現金残</c:v>
                </c:pt>
              </c:strCache>
            </c:strRef>
          </c:cat>
          <c:val>
            <c:numRef>
              <c:f>(決算分析!$P$54,決算分析!$P$58,決算分析!$P$62,決算分析!$P$66,決算分析!$P$70,決算分析!$P$74,決算分析!$P$78)</c:f>
              <c:numCache>
                <c:formatCode>0.0%</c:formatCode>
                <c:ptCount val="7"/>
                <c:pt idx="0">
                  <c:v>0.9780193814591327</c:v>
                </c:pt>
                <c:pt idx="1">
                  <c:v>0.61488852036115715</c:v>
                </c:pt>
                <c:pt idx="2">
                  <c:v>0</c:v>
                </c:pt>
                <c:pt idx="3">
                  <c:v>1</c:v>
                </c:pt>
                <c:pt idx="4">
                  <c:v>0</c:v>
                </c:pt>
                <c:pt idx="5">
                  <c:v>0.61488852036115715</c:v>
                </c:pt>
                <c:pt idx="6">
                  <c:v>0.63277556084638342</c:v>
                </c:pt>
              </c:numCache>
            </c:numRef>
          </c:val>
          <c:extLst>
            <c:ext xmlns:c16="http://schemas.microsoft.com/office/drawing/2014/chart" uri="{C3380CC4-5D6E-409C-BE32-E72D297353CC}">
              <c16:uniqueId val="{00000003-1AAD-465C-859F-CF88B7AC96DE}"/>
            </c:ext>
          </c:extLst>
        </c:ser>
        <c:ser>
          <c:idx val="4"/>
          <c:order val="4"/>
          <c:tx>
            <c:v>今期</c:v>
          </c:tx>
          <c:spPr>
            <a:solidFill>
              <a:srgbClr val="CCFFFF"/>
            </a:solidFill>
            <a:ln>
              <a:noFill/>
              <a:prstDash val="solid"/>
            </a:ln>
          </c:spPr>
          <c:invertIfNegative val="0"/>
          <c:cat>
            <c:strRef>
              <c:f>(決算分析!$B$53,決算分析!$B$57,決算分析!$B$61,決算分析!$B$65,決算分析!$B$69,決算分析!$B$73,決算分析!$B$77)</c:f>
              <c:strCache>
                <c:ptCount val="7"/>
                <c:pt idx="0">
                  <c:v>売上</c:v>
                </c:pt>
                <c:pt idx="1">
                  <c:v>経常利益</c:v>
                </c:pt>
                <c:pt idx="2">
                  <c:v>株価</c:v>
                </c:pt>
                <c:pt idx="3">
                  <c:v>発行株数</c:v>
                </c:pt>
                <c:pt idx="4">
                  <c:v>時価総額</c:v>
                </c:pt>
                <c:pt idx="5">
                  <c:v>ＥＰＳ</c:v>
                </c:pt>
                <c:pt idx="6">
                  <c:v>現金残</c:v>
                </c:pt>
              </c:strCache>
            </c:strRef>
          </c:cat>
          <c:val>
            <c:numRef>
              <c:f>(決算分析!$Q$54,決算分析!$Q$58,決算分析!$Q$62,決算分析!$Q$66,決算分析!$Q$70,決算分析!$Q$74,決算分析!$Q$78)</c:f>
              <c:numCache>
                <c:formatCode>0.0%</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4-1AAD-465C-859F-CF88B7AC96DE}"/>
            </c:ext>
          </c:extLst>
        </c:ser>
        <c:dLbls>
          <c:showLegendKey val="0"/>
          <c:showVal val="0"/>
          <c:showCatName val="0"/>
          <c:showSerName val="0"/>
          <c:showPercent val="0"/>
          <c:showBubbleSize val="0"/>
        </c:dLbls>
        <c:gapWidth val="200"/>
        <c:axId val="664220824"/>
        <c:axId val="664222264"/>
      </c:barChart>
      <c:catAx>
        <c:axId val="664220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ja-JP"/>
          </a:p>
        </c:txPr>
        <c:crossAx val="664222264"/>
        <c:crosses val="autoZero"/>
        <c:auto val="1"/>
        <c:lblAlgn val="ctr"/>
        <c:lblOffset val="100"/>
        <c:noMultiLvlLbl val="0"/>
      </c:catAx>
      <c:valAx>
        <c:axId val="664222264"/>
        <c:scaling>
          <c:orientation val="minMax"/>
        </c:scaling>
        <c:delete val="0"/>
        <c:axPos val="l"/>
        <c:majorGridlines>
          <c:spPr>
            <a:ln w="9525" cap="flat" cmpd="sng" algn="ctr">
              <a:solidFill>
                <a:schemeClr val="tx1"/>
              </a:solidFill>
              <a:prstDash val="solid"/>
              <a:round/>
            </a:ln>
          </c:spPr>
        </c:majorGridlines>
        <c:numFmt formatCode="0.0%" sourceLinked="1"/>
        <c:majorTickMark val="none"/>
        <c:minorTickMark val="none"/>
        <c:tickLblPos val="nextTo"/>
        <c:spPr>
          <a:noFill/>
          <a:ln>
            <a:solidFill>
              <a:schemeClr val="tx1"/>
            </a:solid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ja-JP"/>
          </a:p>
        </c:txPr>
        <c:crossAx val="664220824"/>
        <c:crosses val="autoZero"/>
        <c:crossBetween val="between"/>
      </c:valAx>
    </c:plotArea>
    <c:legend>
      <c:legendPos val="b"/>
      <c:overlay val="0"/>
      <c:spPr>
        <a:noFill/>
        <a:ln>
          <a:solidFill>
            <a:schemeClr val="tx1"/>
          </a:solidFill>
          <a:prstDash val="solid"/>
        </a:ln>
      </c:spPr>
      <c:txPr>
        <a:bodyPr rot="0" spcFirstLastPara="1" vertOverflow="ellipsis" vert="horz" wrap="square" anchor="ctr" anchorCtr="1"/>
        <a:lstStyle/>
        <a:p>
          <a:pPr>
            <a:defRPr sz="900" b="0" i="0" strike="noStrike" kern="1200" baseline="0">
              <a:solidFill>
                <a:schemeClr val="tx1"/>
              </a:solidFill>
              <a:latin typeface="+mn-lt"/>
              <a:ea typeface="+mn-ea"/>
              <a:cs typeface="+mn-cs"/>
            </a:defRPr>
          </a:pPr>
          <a:endParaRPr lang="ja-JP"/>
        </a:p>
      </c:txPr>
    </c:legend>
    <c:plotVisOnly val="1"/>
    <c:dispBlanksAs val="gap"/>
    <c:showDLblsOverMax val="1"/>
  </c:chart>
  <c:spPr>
    <a:solidFill>
      <a:schemeClr val="bg1"/>
    </a:solidFill>
    <a:ln w="9525" cap="flat" cmpd="sng" algn="ctr">
      <a:solidFill>
        <a:schemeClr val="tx1"/>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barChart>
        <c:barDir val="col"/>
        <c:grouping val="stacked"/>
        <c:varyColors val="0"/>
        <c:ser>
          <c:idx val="0"/>
          <c:order val="0"/>
          <c:tx>
            <c:v>４期前</c:v>
          </c:tx>
          <c:spPr>
            <a:solidFill>
              <a:srgbClr val="FFFF99"/>
            </a:solidFill>
            <a:ln>
              <a:noFill/>
              <a:prstDash val="solid"/>
            </a:ln>
          </c:spPr>
          <c:invertIfNegative val="0"/>
          <c:cat>
            <c:strRef>
              <c:f>(決算分析!$C$108,決算分析!$H$108,決算分析!$M$108,決算分析!$C$112)</c:f>
              <c:strCache>
                <c:ptCount val="4"/>
                <c:pt idx="0">
                  <c:v>営業ＣＦ</c:v>
                </c:pt>
                <c:pt idx="1">
                  <c:v>投資ＣＦ</c:v>
                </c:pt>
                <c:pt idx="2">
                  <c:v>財務ＣＦ</c:v>
                </c:pt>
                <c:pt idx="3">
                  <c:v>ＦＣＦ</c:v>
                </c:pt>
              </c:strCache>
            </c:strRef>
          </c:cat>
          <c:val>
            <c:numRef>
              <c:f>(決算分析!$C$110,決算分析!$H$110,決算分析!$M$110,決算分析!$C$114)</c:f>
              <c:numCache>
                <c:formatCode>#,##0_);[Red]\(#,##0\)</c:formatCode>
                <c:ptCount val="4"/>
                <c:pt idx="0">
                  <c:v>418.45825787229069</c:v>
                </c:pt>
                <c:pt idx="1">
                  <c:v>-426.3889700297949</c:v>
                </c:pt>
                <c:pt idx="2">
                  <c:v>-70.967459251036985</c:v>
                </c:pt>
                <c:pt idx="3">
                  <c:v>-7.9307121575042352</c:v>
                </c:pt>
              </c:numCache>
            </c:numRef>
          </c:val>
          <c:extLst>
            <c:ext xmlns:c16="http://schemas.microsoft.com/office/drawing/2014/chart" uri="{C3380CC4-5D6E-409C-BE32-E72D297353CC}">
              <c16:uniqueId val="{00000000-FAED-4B3B-8588-77743B16BB35}"/>
            </c:ext>
          </c:extLst>
        </c:ser>
        <c:ser>
          <c:idx val="1"/>
          <c:order val="1"/>
          <c:tx>
            <c:v>３期前</c:v>
          </c:tx>
          <c:spPr>
            <a:solidFill>
              <a:srgbClr val="FF99FF"/>
            </a:solidFill>
            <a:ln>
              <a:noFill/>
              <a:prstDash val="solid"/>
            </a:ln>
          </c:spPr>
          <c:invertIfNegative val="0"/>
          <c:cat>
            <c:strRef>
              <c:f>(決算分析!$C$108,決算分析!$H$108,決算分析!$M$108,決算分析!$C$112)</c:f>
              <c:strCache>
                <c:ptCount val="4"/>
                <c:pt idx="0">
                  <c:v>営業ＣＦ</c:v>
                </c:pt>
                <c:pt idx="1">
                  <c:v>投資ＣＦ</c:v>
                </c:pt>
                <c:pt idx="2">
                  <c:v>財務ＣＦ</c:v>
                </c:pt>
                <c:pt idx="3">
                  <c:v>ＦＣＦ</c:v>
                </c:pt>
              </c:strCache>
            </c:strRef>
          </c:cat>
          <c:val>
            <c:numRef>
              <c:f>(決算分析!$D$110,決算分析!$I$110,決算分析!$N$110,決算分析!$D$114)</c:f>
              <c:numCache>
                <c:formatCode>#,##0_);[Red]\(#,##0\)</c:formatCode>
                <c:ptCount val="4"/>
                <c:pt idx="0">
                  <c:v>245.39931062686219</c:v>
                </c:pt>
                <c:pt idx="1">
                  <c:v>-294.15201261903371</c:v>
                </c:pt>
                <c:pt idx="2">
                  <c:v>-150.20155401063269</c:v>
                </c:pt>
                <c:pt idx="3">
                  <c:v>-48.752701992171531</c:v>
                </c:pt>
              </c:numCache>
            </c:numRef>
          </c:val>
          <c:extLst>
            <c:ext xmlns:c16="http://schemas.microsoft.com/office/drawing/2014/chart" uri="{C3380CC4-5D6E-409C-BE32-E72D297353CC}">
              <c16:uniqueId val="{00000001-FAED-4B3B-8588-77743B16BB35}"/>
            </c:ext>
          </c:extLst>
        </c:ser>
        <c:ser>
          <c:idx val="2"/>
          <c:order val="2"/>
          <c:tx>
            <c:v>２期前</c:v>
          </c:tx>
          <c:spPr>
            <a:solidFill>
              <a:srgbClr val="CCFFCC"/>
            </a:solidFill>
            <a:ln>
              <a:noFill/>
              <a:prstDash val="solid"/>
            </a:ln>
          </c:spPr>
          <c:invertIfNegative val="0"/>
          <c:cat>
            <c:strRef>
              <c:f>(決算分析!$C$108,決算分析!$H$108,決算分析!$M$108,決算分析!$C$112)</c:f>
              <c:strCache>
                <c:ptCount val="4"/>
                <c:pt idx="0">
                  <c:v>営業ＣＦ</c:v>
                </c:pt>
                <c:pt idx="1">
                  <c:v>投資ＣＦ</c:v>
                </c:pt>
                <c:pt idx="2">
                  <c:v>財務ＣＦ</c:v>
                </c:pt>
                <c:pt idx="3">
                  <c:v>ＦＣＦ</c:v>
                </c:pt>
              </c:strCache>
            </c:strRef>
          </c:cat>
          <c:val>
            <c:numRef>
              <c:f>(決算分析!$E$110,決算分析!$J$110,決算分析!$O$110,決算分析!$E$114)</c:f>
              <c:numCache>
                <c:formatCode>#,##0_);[Red]\(#,##0\)</c:formatCode>
                <c:ptCount val="4"/>
                <c:pt idx="0">
                  <c:v>409.87030437576675</c:v>
                </c:pt>
                <c:pt idx="1">
                  <c:v>-125.7959922883683</c:v>
                </c:pt>
                <c:pt idx="2">
                  <c:v>-90.246538528947838</c:v>
                </c:pt>
                <c:pt idx="3">
                  <c:v>284.07431208739848</c:v>
                </c:pt>
              </c:numCache>
            </c:numRef>
          </c:val>
          <c:extLst>
            <c:ext xmlns:c16="http://schemas.microsoft.com/office/drawing/2014/chart" uri="{C3380CC4-5D6E-409C-BE32-E72D297353CC}">
              <c16:uniqueId val="{00000002-FAED-4B3B-8588-77743B16BB35}"/>
            </c:ext>
          </c:extLst>
        </c:ser>
        <c:ser>
          <c:idx val="3"/>
          <c:order val="3"/>
          <c:tx>
            <c:v>前期</c:v>
          </c:tx>
          <c:spPr>
            <a:solidFill>
              <a:srgbClr val="FFCC99"/>
            </a:solidFill>
            <a:ln>
              <a:noFill/>
              <a:prstDash val="solid"/>
            </a:ln>
          </c:spPr>
          <c:invertIfNegative val="0"/>
          <c:cat>
            <c:strRef>
              <c:f>(決算分析!$C$108,決算分析!$H$108,決算分析!$M$108,決算分析!$C$112)</c:f>
              <c:strCache>
                <c:ptCount val="4"/>
                <c:pt idx="0">
                  <c:v>営業ＣＦ</c:v>
                </c:pt>
                <c:pt idx="1">
                  <c:v>投資ＣＦ</c:v>
                </c:pt>
                <c:pt idx="2">
                  <c:v>財務ＣＦ</c:v>
                </c:pt>
                <c:pt idx="3">
                  <c:v>ＦＣＦ</c:v>
                </c:pt>
              </c:strCache>
            </c:strRef>
          </c:cat>
          <c:val>
            <c:numRef>
              <c:f>(決算分析!$F$110,決算分析!$K$110,決算分析!$P$110,決算分析!$F$114)</c:f>
              <c:numCache>
                <c:formatCode>#,##0_);[Red]\(#,##0\)</c:formatCode>
                <c:ptCount val="4"/>
                <c:pt idx="0">
                  <c:v>26.464917917859438</c:v>
                </c:pt>
                <c:pt idx="1">
                  <c:v>-149.77799848104223</c:v>
                </c:pt>
                <c:pt idx="2">
                  <c:v>-573.20207980370401</c:v>
                </c:pt>
                <c:pt idx="3">
                  <c:v>-123.31308056318279</c:v>
                </c:pt>
              </c:numCache>
            </c:numRef>
          </c:val>
          <c:extLst>
            <c:ext xmlns:c16="http://schemas.microsoft.com/office/drawing/2014/chart" uri="{C3380CC4-5D6E-409C-BE32-E72D297353CC}">
              <c16:uniqueId val="{00000003-FAED-4B3B-8588-77743B16BB35}"/>
            </c:ext>
          </c:extLst>
        </c:ser>
        <c:ser>
          <c:idx val="4"/>
          <c:order val="4"/>
          <c:tx>
            <c:v>今期</c:v>
          </c:tx>
          <c:spPr>
            <a:solidFill>
              <a:srgbClr val="CCFFFF"/>
            </a:solidFill>
            <a:ln>
              <a:noFill/>
              <a:prstDash val="solid"/>
            </a:ln>
          </c:spPr>
          <c:invertIfNegative val="0"/>
          <c:cat>
            <c:strRef>
              <c:f>(決算分析!$C$108,決算分析!$H$108,決算分析!$M$108,決算分析!$C$112)</c:f>
              <c:strCache>
                <c:ptCount val="4"/>
                <c:pt idx="0">
                  <c:v>営業ＣＦ</c:v>
                </c:pt>
                <c:pt idx="1">
                  <c:v>投資ＣＦ</c:v>
                </c:pt>
                <c:pt idx="2">
                  <c:v>財務ＣＦ</c:v>
                </c:pt>
                <c:pt idx="3">
                  <c:v>ＦＣＦ</c:v>
                </c:pt>
              </c:strCache>
            </c:strRef>
          </c:cat>
          <c:val>
            <c:numRef>
              <c:f>(決算分析!$G$110,決算分析!$L$110,決算分析!$Q$110,決算分析!$G$114)</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4-FAED-4B3B-8588-77743B16BB35}"/>
            </c:ext>
          </c:extLst>
        </c:ser>
        <c:dLbls>
          <c:showLegendKey val="0"/>
          <c:showVal val="0"/>
          <c:showCatName val="0"/>
          <c:showSerName val="0"/>
          <c:showPercent val="0"/>
          <c:showBubbleSize val="0"/>
        </c:dLbls>
        <c:gapWidth val="200"/>
        <c:overlap val="100"/>
        <c:axId val="664220824"/>
        <c:axId val="664222264"/>
      </c:barChart>
      <c:catAx>
        <c:axId val="664220824"/>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ja-JP"/>
          </a:p>
        </c:txPr>
        <c:crossAx val="664222264"/>
        <c:crosses val="autoZero"/>
        <c:auto val="1"/>
        <c:lblAlgn val="ctr"/>
        <c:lblOffset val="100"/>
        <c:noMultiLvlLbl val="0"/>
      </c:catAx>
      <c:valAx>
        <c:axId val="664222264"/>
        <c:scaling>
          <c:orientation val="minMax"/>
        </c:scaling>
        <c:delete val="0"/>
        <c:axPos val="l"/>
        <c:majorGridlines>
          <c:spPr>
            <a:ln w="9525" cap="flat" cmpd="sng" algn="ctr">
              <a:solidFill>
                <a:schemeClr val="tx1"/>
              </a:solidFill>
              <a:prstDash val="solid"/>
              <a:round/>
            </a:ln>
          </c:spPr>
        </c:majorGridlines>
        <c:numFmt formatCode="#,##0_);[Red]\(#,##0\)" sourceLinked="1"/>
        <c:majorTickMark val="none"/>
        <c:minorTickMark val="none"/>
        <c:tickLblPos val="nextTo"/>
        <c:spPr>
          <a:noFill/>
          <a:ln>
            <a:solidFill>
              <a:schemeClr val="tx1"/>
            </a:solidFill>
            <a:prstDash val="soli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ja-JP"/>
          </a:p>
        </c:txPr>
        <c:crossAx val="664220824"/>
        <c:crosses val="autoZero"/>
        <c:crossBetween val="between"/>
      </c:valAx>
    </c:plotArea>
    <c:legend>
      <c:legendPos val="b"/>
      <c:overlay val="0"/>
      <c:spPr>
        <a:noFill/>
        <a:ln>
          <a:solidFill>
            <a:schemeClr val="tx1"/>
          </a:solidFill>
          <a:prstDash val="solid"/>
        </a:ln>
      </c:spPr>
      <c:txPr>
        <a:bodyPr rot="0" spcFirstLastPara="1" vertOverflow="ellipsis" vert="horz" wrap="square" anchor="ctr" anchorCtr="1"/>
        <a:lstStyle/>
        <a:p>
          <a:pPr>
            <a:defRPr sz="900" b="0" i="0" strike="noStrike" kern="1200" baseline="0">
              <a:solidFill>
                <a:schemeClr val="tx1"/>
              </a:solidFill>
              <a:latin typeface="+mn-lt"/>
              <a:ea typeface="+mn-ea"/>
              <a:cs typeface="+mn-cs"/>
            </a:defRPr>
          </a:pPr>
          <a:endParaRPr lang="ja-JP"/>
        </a:p>
      </c:txPr>
    </c:legend>
    <c:plotVisOnly val="1"/>
    <c:dispBlanksAs val="gap"/>
    <c:showDLblsOverMax val="1"/>
  </c:chart>
  <c:spPr>
    <a:solidFill>
      <a:schemeClr val="bg1"/>
    </a:solidFill>
    <a:ln w="9525" cap="flat" cmpd="sng" algn="ctr">
      <a:solidFill>
        <a:schemeClr val="tx1"/>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barChart>
        <c:barDir val="col"/>
        <c:grouping val="clustered"/>
        <c:varyColors val="0"/>
        <c:ser>
          <c:idx val="0"/>
          <c:order val="0"/>
          <c:tx>
            <c:strRef>
              <c:f>決算分析!$C$88</c:f>
              <c:strCache>
                <c:ptCount val="1"/>
                <c:pt idx="0">
                  <c:v>１株資産</c:v>
                </c:pt>
              </c:strCache>
            </c:strRef>
          </c:tx>
          <c:spPr>
            <a:solidFill>
              <a:srgbClr val="993366"/>
            </a:solidFill>
            <a:ln>
              <a:noFill/>
              <a:prstDash val="solid"/>
            </a:ln>
          </c:spPr>
          <c:invertIfNegative val="0"/>
          <c:cat>
            <c:strRef>
              <c:f>決算分析!$C$89:$G$89</c:f>
              <c:strCache>
                <c:ptCount val="5"/>
                <c:pt idx="0">
                  <c:v>４期前</c:v>
                </c:pt>
                <c:pt idx="1">
                  <c:v>３期前</c:v>
                </c:pt>
                <c:pt idx="2">
                  <c:v>２期前</c:v>
                </c:pt>
                <c:pt idx="3">
                  <c:v>前期</c:v>
                </c:pt>
                <c:pt idx="4">
                  <c:v>（今期）</c:v>
                </c:pt>
              </c:strCache>
            </c:strRef>
          </c:cat>
          <c:val>
            <c:numRef>
              <c:f>決算分析!$C$90:$G$90</c:f>
              <c:numCache>
                <c:formatCode>#,##0_);[Red]\(#,##0\)</c:formatCode>
                <c:ptCount val="5"/>
                <c:pt idx="0">
                  <c:v>5210.3902553017469</c:v>
                </c:pt>
                <c:pt idx="1">
                  <c:v>5390.1968802944439</c:v>
                </c:pt>
                <c:pt idx="2">
                  <c:v>5779.9702050592978</c:v>
                </c:pt>
                <c:pt idx="3">
                  <c:v>5517.4826196179238</c:v>
                </c:pt>
                <c:pt idx="4">
                  <c:v>0</c:v>
                </c:pt>
              </c:numCache>
            </c:numRef>
          </c:val>
          <c:extLst>
            <c:ext xmlns:c16="http://schemas.microsoft.com/office/drawing/2014/chart" uri="{C3380CC4-5D6E-409C-BE32-E72D297353CC}">
              <c16:uniqueId val="{00000000-D713-4F33-9DB4-7BB59797C5D9}"/>
            </c:ext>
          </c:extLst>
        </c:ser>
        <c:ser>
          <c:idx val="1"/>
          <c:order val="1"/>
          <c:tx>
            <c:strRef>
              <c:f>決算分析!$H$88</c:f>
              <c:strCache>
                <c:ptCount val="1"/>
                <c:pt idx="0">
                  <c:v>１株資本</c:v>
                </c:pt>
              </c:strCache>
            </c:strRef>
          </c:tx>
          <c:spPr>
            <a:solidFill>
              <a:srgbClr val="9999FF"/>
            </a:solidFill>
            <a:ln>
              <a:noFill/>
              <a:prstDash val="solid"/>
            </a:ln>
          </c:spPr>
          <c:invertIfNegative val="0"/>
          <c:cat>
            <c:strRef>
              <c:f>決算分析!$C$89:$G$89</c:f>
              <c:strCache>
                <c:ptCount val="5"/>
                <c:pt idx="0">
                  <c:v>４期前</c:v>
                </c:pt>
                <c:pt idx="1">
                  <c:v>３期前</c:v>
                </c:pt>
                <c:pt idx="2">
                  <c:v>２期前</c:v>
                </c:pt>
                <c:pt idx="3">
                  <c:v>前期</c:v>
                </c:pt>
                <c:pt idx="4">
                  <c:v>（今期）</c:v>
                </c:pt>
              </c:strCache>
            </c:strRef>
          </c:cat>
          <c:val>
            <c:numRef>
              <c:f>決算分析!$H$90:$L$90</c:f>
              <c:numCache>
                <c:formatCode>#,##0_);[Red]\(#,##0\)</c:formatCode>
                <c:ptCount val="5"/>
                <c:pt idx="0">
                  <c:v>3522.4776537944736</c:v>
                </c:pt>
                <c:pt idx="1">
                  <c:v>3574.8086697435301</c:v>
                </c:pt>
                <c:pt idx="2">
                  <c:v>3842.9047146112052</c:v>
                </c:pt>
                <c:pt idx="3">
                  <c:v>3981.3927674241982</c:v>
                </c:pt>
                <c:pt idx="4">
                  <c:v>0</c:v>
                </c:pt>
              </c:numCache>
            </c:numRef>
          </c:val>
          <c:extLst>
            <c:ext xmlns:c16="http://schemas.microsoft.com/office/drawing/2014/chart" uri="{C3380CC4-5D6E-409C-BE32-E72D297353CC}">
              <c16:uniqueId val="{00000001-D713-4F33-9DB4-7BB59797C5D9}"/>
            </c:ext>
          </c:extLst>
        </c:ser>
        <c:dLbls>
          <c:showLegendKey val="0"/>
          <c:showVal val="0"/>
          <c:showCatName val="0"/>
          <c:showSerName val="0"/>
          <c:showPercent val="0"/>
          <c:showBubbleSize val="0"/>
        </c:dLbls>
        <c:gapWidth val="150"/>
        <c:axId val="563316072"/>
        <c:axId val="563314272"/>
      </c:barChart>
      <c:lineChart>
        <c:grouping val="standard"/>
        <c:varyColors val="0"/>
        <c:ser>
          <c:idx val="2"/>
          <c:order val="2"/>
          <c:tx>
            <c:strRef>
              <c:f>決算分析!$C$100</c:f>
              <c:strCache>
                <c:ptCount val="1"/>
                <c:pt idx="0">
                  <c:v>ＰＢＲ</c:v>
                </c:pt>
              </c:strCache>
            </c:strRef>
          </c:tx>
          <c:spPr>
            <a:ln w="19050" cap="rnd">
              <a:solidFill>
                <a:srgbClr val="FFFF00"/>
              </a:solidFill>
              <a:prstDash val="solid"/>
              <a:round/>
            </a:ln>
          </c:spPr>
          <c:marker>
            <c:symbol val="triangle"/>
            <c:size val="7"/>
            <c:spPr>
              <a:solidFill>
                <a:srgbClr val="FFFF00"/>
              </a:solidFill>
              <a:ln w="9525">
                <a:noFill/>
                <a:prstDash val="solid"/>
                <a:headEnd w="sm" len="sm"/>
                <a:tailEnd w="sm" len="sm"/>
              </a:ln>
            </c:spPr>
          </c:marker>
          <c:cat>
            <c:strRef>
              <c:f>(決算分析!$C$88,決算分析!$H$88,決算分析!$C$100,決算分析!$H$100)</c:f>
              <c:strCache>
                <c:ptCount val="4"/>
                <c:pt idx="0">
                  <c:v>１株資産</c:v>
                </c:pt>
                <c:pt idx="1">
                  <c:v>１株資本</c:v>
                </c:pt>
                <c:pt idx="2">
                  <c:v>ＰＢＲ</c:v>
                </c:pt>
                <c:pt idx="3">
                  <c:v>理論ＰＢＲ</c:v>
                </c:pt>
              </c:strCache>
            </c:strRef>
          </c:cat>
          <c:val>
            <c:numRef>
              <c:f>決算分析!$C$102:$G$102</c:f>
              <c:numCache>
                <c:formatCode>#,##0.0;[Red]\-#,##0.0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D713-4F33-9DB4-7BB59797C5D9}"/>
            </c:ext>
          </c:extLst>
        </c:ser>
        <c:ser>
          <c:idx val="3"/>
          <c:order val="3"/>
          <c:tx>
            <c:strRef>
              <c:f>決算分析!$H$100</c:f>
              <c:strCache>
                <c:ptCount val="1"/>
                <c:pt idx="0">
                  <c:v>理論ＰＢＲ</c:v>
                </c:pt>
              </c:strCache>
            </c:strRef>
          </c:tx>
          <c:spPr>
            <a:ln w="19050" cap="rnd">
              <a:solidFill>
                <a:srgbClr val="00FFFF"/>
              </a:solidFill>
              <a:prstDash val="solid"/>
              <a:round/>
            </a:ln>
          </c:spPr>
          <c:marker>
            <c:symbol val="x"/>
            <c:size val="6"/>
            <c:spPr>
              <a:noFill/>
              <a:ln w="12700">
                <a:solidFill>
                  <a:srgbClr val="00FFFF"/>
                </a:solidFill>
                <a:prstDash val="solid"/>
                <a:bevel/>
                <a:headEnd w="sm" len="sm"/>
                <a:tailEnd w="sm" len="sm"/>
              </a:ln>
            </c:spPr>
          </c:marker>
          <c:cat>
            <c:strRef>
              <c:f>(決算分析!$C$88,決算分析!$H$88,決算分析!$C$100,決算分析!$H$100)</c:f>
              <c:strCache>
                <c:ptCount val="4"/>
                <c:pt idx="0">
                  <c:v>１株資産</c:v>
                </c:pt>
                <c:pt idx="1">
                  <c:v>１株資本</c:v>
                </c:pt>
                <c:pt idx="2">
                  <c:v>ＰＢＲ</c:v>
                </c:pt>
                <c:pt idx="3">
                  <c:v>理論ＰＢＲ</c:v>
                </c:pt>
              </c:strCache>
            </c:strRef>
          </c:cat>
          <c:val>
            <c:numRef>
              <c:f>決算分析!$H$102:$L$102</c:f>
              <c:numCache>
                <c:formatCode>0.0</c:formatCode>
                <c:ptCount val="5"/>
                <c:pt idx="0">
                  <c:v>1.1525623746817655</c:v>
                </c:pt>
                <c:pt idx="1">
                  <c:v>0.85255491544511863</c:v>
                </c:pt>
                <c:pt idx="2">
                  <c:v>1.0214471884160254</c:v>
                </c:pt>
                <c:pt idx="3">
                  <c:v>0.87716525137488044</c:v>
                </c:pt>
                <c:pt idx="4">
                  <c:v>0</c:v>
                </c:pt>
              </c:numCache>
            </c:numRef>
          </c:val>
          <c:smooth val="0"/>
          <c:extLst>
            <c:ext xmlns:c16="http://schemas.microsoft.com/office/drawing/2014/chart" uri="{C3380CC4-5D6E-409C-BE32-E72D297353CC}">
              <c16:uniqueId val="{00000003-D713-4F33-9DB4-7BB59797C5D9}"/>
            </c:ext>
          </c:extLst>
        </c:ser>
        <c:dLbls>
          <c:showLegendKey val="0"/>
          <c:showVal val="0"/>
          <c:showCatName val="0"/>
          <c:showSerName val="0"/>
          <c:showPercent val="0"/>
          <c:showBubbleSize val="0"/>
        </c:dLbls>
        <c:marker val="1"/>
        <c:smooth val="0"/>
        <c:axId val="711779872"/>
        <c:axId val="711789232"/>
      </c:lineChart>
      <c:catAx>
        <c:axId val="563316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4272"/>
        <c:crosses val="autoZero"/>
        <c:auto val="1"/>
        <c:lblAlgn val="ctr"/>
        <c:lblOffset val="100"/>
        <c:noMultiLvlLbl val="1"/>
      </c:catAx>
      <c:valAx>
        <c:axId val="563314272"/>
        <c:scaling>
          <c:orientation val="minMax"/>
        </c:scaling>
        <c:delete val="0"/>
        <c:axPos val="l"/>
        <c:majorGridlines>
          <c:spPr>
            <a:ln w="9525" cap="flat" cmpd="sng" algn="ctr">
              <a:solidFill>
                <a:schemeClr val="tx1"/>
              </a:solidFill>
              <a:prstDash val="solid"/>
              <a:round/>
            </a:ln>
          </c:spPr>
        </c:majorGridlines>
        <c:numFmt formatCode="#,##0_);[Red]\(#,##0\)" sourceLinked="1"/>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6072"/>
        <c:crosses val="autoZero"/>
        <c:crossBetween val="between"/>
      </c:valAx>
      <c:catAx>
        <c:axId val="711779872"/>
        <c:scaling>
          <c:orientation val="minMax"/>
        </c:scaling>
        <c:delete val="1"/>
        <c:axPos val="t"/>
        <c:numFmt formatCode="General" sourceLinked="1"/>
        <c:majorTickMark val="out"/>
        <c:minorTickMark val="none"/>
        <c:tickLblPos val="nextTo"/>
        <c:crossAx val="711789232"/>
        <c:crosses val="max"/>
        <c:auto val="1"/>
        <c:lblAlgn val="ctr"/>
        <c:lblOffset val="100"/>
        <c:noMultiLvlLbl val="0"/>
      </c:catAx>
      <c:valAx>
        <c:axId val="711789232"/>
        <c:scaling>
          <c:orientation val="minMax"/>
        </c:scaling>
        <c:delete val="0"/>
        <c:axPos val="r"/>
        <c:numFmt formatCode="#,##0.0;[Red]\-#,##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711779872"/>
        <c:crosses val="max"/>
        <c:crossBetween val="between"/>
      </c:valAx>
    </c:plotArea>
    <c:legend>
      <c:legendPos val="b"/>
      <c:overlay val="0"/>
      <c:spPr>
        <a:noFill/>
        <a:ln>
          <a:solidFill>
            <a:schemeClr val="tx1"/>
          </a:solidFill>
          <a:prstDash val="solid"/>
        </a:ln>
      </c:spPr>
      <c:txPr>
        <a:bodyPr rot="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legend>
    <c:plotVisOnly val="1"/>
    <c:dispBlanksAs val="gap"/>
    <c:showDLblsOverMax val="1"/>
  </c:chart>
  <c:spPr>
    <a:solidFill>
      <a:schemeClr val="bg1"/>
    </a:solidFill>
    <a:ln w="9525" cap="flat" cmpd="sng" algn="ctr">
      <a:solidFill>
        <a:schemeClr val="tx1"/>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barChart>
        <c:barDir val="col"/>
        <c:grouping val="clustered"/>
        <c:varyColors val="0"/>
        <c:ser>
          <c:idx val="0"/>
          <c:order val="0"/>
          <c:tx>
            <c:v>資産価値</c:v>
          </c:tx>
          <c:spPr>
            <a:solidFill>
              <a:srgbClr val="CCFFCC"/>
            </a:solidFill>
            <a:ln>
              <a:noFill/>
              <a:prstDash val="solid"/>
            </a:ln>
          </c:spPr>
          <c:invertIfNegative val="0"/>
          <c:cat>
            <c:strRef>
              <c:f>決算分析!$C$97:$G$97</c:f>
              <c:strCache>
                <c:ptCount val="5"/>
                <c:pt idx="0">
                  <c:v>４期前</c:v>
                </c:pt>
                <c:pt idx="1">
                  <c:v>３期前</c:v>
                </c:pt>
                <c:pt idx="2">
                  <c:v>２期前</c:v>
                </c:pt>
                <c:pt idx="3">
                  <c:v>前期</c:v>
                </c:pt>
                <c:pt idx="4">
                  <c:v>（今期）</c:v>
                </c:pt>
              </c:strCache>
            </c:strRef>
          </c:cat>
          <c:val>
            <c:numRef>
              <c:f>決算分析!$C$98:$G$98</c:f>
              <c:numCache>
                <c:formatCode>#,##0_);[Red]\(#,##0\)</c:formatCode>
                <c:ptCount val="5"/>
                <c:pt idx="0">
                  <c:v>2641.8582403458549</c:v>
                </c:pt>
                <c:pt idx="1">
                  <c:v>2502.3660688204709</c:v>
                </c:pt>
                <c:pt idx="2">
                  <c:v>2690.0333002278435</c:v>
                </c:pt>
                <c:pt idx="3">
                  <c:v>2986.0445755681485</c:v>
                </c:pt>
                <c:pt idx="4">
                  <c:v>0</c:v>
                </c:pt>
              </c:numCache>
            </c:numRef>
          </c:val>
          <c:extLst>
            <c:ext xmlns:c16="http://schemas.microsoft.com/office/drawing/2014/chart" uri="{C3380CC4-5D6E-409C-BE32-E72D297353CC}">
              <c16:uniqueId val="{00000000-E4C3-40E3-A60E-8A8EAA0D5546}"/>
            </c:ext>
          </c:extLst>
        </c:ser>
        <c:ser>
          <c:idx val="1"/>
          <c:order val="1"/>
          <c:tx>
            <c:v>事業価値</c:v>
          </c:tx>
          <c:spPr>
            <a:solidFill>
              <a:srgbClr val="FFCC99"/>
            </a:solidFill>
            <a:ln>
              <a:noFill/>
              <a:prstDash val="solid"/>
            </a:ln>
          </c:spPr>
          <c:invertIfNegative val="0"/>
          <c:cat>
            <c:strRef>
              <c:f>決算分析!$C$97:$G$97</c:f>
              <c:strCache>
                <c:ptCount val="5"/>
                <c:pt idx="0">
                  <c:v>４期前</c:v>
                </c:pt>
                <c:pt idx="1">
                  <c:v>３期前</c:v>
                </c:pt>
                <c:pt idx="2">
                  <c:v>２期前</c:v>
                </c:pt>
                <c:pt idx="3">
                  <c:v>前期</c:v>
                </c:pt>
                <c:pt idx="4">
                  <c:v>（今期）</c:v>
                </c:pt>
              </c:strCache>
            </c:strRef>
          </c:cat>
          <c:val>
            <c:numRef>
              <c:f>決算分析!$H$98:$L$98</c:f>
              <c:numCache>
                <c:formatCode>#,##0_);[Red]\(#,##0\)</c:formatCode>
                <c:ptCount val="5"/>
                <c:pt idx="0">
                  <c:v>1418.0169690749576</c:v>
                </c:pt>
                <c:pt idx="1">
                  <c:v>545.35463434520113</c:v>
                </c:pt>
                <c:pt idx="2">
                  <c:v>1235.2909158624611</c:v>
                </c:pt>
                <c:pt idx="3">
                  <c:v>506.29481209162907</c:v>
                </c:pt>
                <c:pt idx="4">
                  <c:v>0</c:v>
                </c:pt>
              </c:numCache>
            </c:numRef>
          </c:val>
          <c:extLst>
            <c:ext xmlns:c16="http://schemas.microsoft.com/office/drawing/2014/chart" uri="{C3380CC4-5D6E-409C-BE32-E72D297353CC}">
              <c16:uniqueId val="{00000001-E4C3-40E3-A60E-8A8EAA0D5546}"/>
            </c:ext>
          </c:extLst>
        </c:ser>
        <c:dLbls>
          <c:showLegendKey val="0"/>
          <c:showVal val="0"/>
          <c:showCatName val="0"/>
          <c:showSerName val="0"/>
          <c:showPercent val="0"/>
          <c:showBubbleSize val="0"/>
        </c:dLbls>
        <c:gapWidth val="150"/>
        <c:axId val="563316072"/>
        <c:axId val="563314272"/>
      </c:barChart>
      <c:lineChart>
        <c:grouping val="standard"/>
        <c:varyColors val="0"/>
        <c:ser>
          <c:idx val="2"/>
          <c:order val="2"/>
          <c:tx>
            <c:v>株価</c:v>
          </c:tx>
          <c:spPr>
            <a:ln w="19050" cap="rnd">
              <a:solidFill>
                <a:srgbClr val="FFFF00"/>
              </a:solidFill>
              <a:prstDash val="solid"/>
              <a:round/>
            </a:ln>
          </c:spPr>
          <c:marker>
            <c:symbol val="triangle"/>
            <c:size val="7"/>
            <c:spPr>
              <a:solidFill>
                <a:srgbClr val="FFFF00"/>
              </a:solidFill>
              <a:ln w="9525">
                <a:noFill/>
                <a:prstDash val="solid"/>
              </a:ln>
            </c:spPr>
          </c:marker>
          <c:cat>
            <c:strRef>
              <c:f>(決算分析!$C$88,決算分析!$H$88,決算分析!$C$100,決算分析!$H$100)</c:f>
              <c:strCache>
                <c:ptCount val="4"/>
                <c:pt idx="0">
                  <c:v>１株資産</c:v>
                </c:pt>
                <c:pt idx="1">
                  <c:v>１株資本</c:v>
                </c:pt>
                <c:pt idx="2">
                  <c:v>ＰＢＲ</c:v>
                </c:pt>
                <c:pt idx="3">
                  <c:v>理論ＰＢＲ</c:v>
                </c:pt>
              </c:strCache>
            </c:strRef>
          </c:cat>
          <c:val>
            <c:numRef>
              <c:f>決算分析!$C$62:$G$62</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E4C3-40E3-A60E-8A8EAA0D5546}"/>
            </c:ext>
          </c:extLst>
        </c:ser>
        <c:ser>
          <c:idx val="3"/>
          <c:order val="3"/>
          <c:tx>
            <c:v>理論株価</c:v>
          </c:tx>
          <c:spPr>
            <a:ln w="19050" cap="rnd">
              <a:solidFill>
                <a:srgbClr val="00FFFF"/>
              </a:solidFill>
              <a:prstDash val="solid"/>
              <a:round/>
            </a:ln>
          </c:spPr>
          <c:marker>
            <c:symbol val="x"/>
            <c:size val="6"/>
            <c:spPr>
              <a:noFill/>
              <a:ln w="12700">
                <a:solidFill>
                  <a:srgbClr val="00FFFF"/>
                </a:solidFill>
                <a:prstDash val="solid"/>
              </a:ln>
            </c:spPr>
          </c:marker>
          <c:cat>
            <c:strRef>
              <c:f>(決算分析!$C$88,決算分析!$H$88,決算分析!$C$100,決算分析!$H$100)</c:f>
              <c:strCache>
                <c:ptCount val="4"/>
                <c:pt idx="0">
                  <c:v>１株資産</c:v>
                </c:pt>
                <c:pt idx="1">
                  <c:v>１株資本</c:v>
                </c:pt>
                <c:pt idx="2">
                  <c:v>ＰＢＲ</c:v>
                </c:pt>
                <c:pt idx="3">
                  <c:v>理論ＰＢＲ</c:v>
                </c:pt>
              </c:strCache>
            </c:strRef>
          </c:cat>
          <c:val>
            <c:numRef>
              <c:f>決算分析!$M$98:$Q$98</c:f>
              <c:numCache>
                <c:formatCode>#,##0_);[Red]\(#,##0\)</c:formatCode>
                <c:ptCount val="5"/>
                <c:pt idx="0">
                  <c:v>4059.8752094208126</c:v>
                </c:pt>
                <c:pt idx="1">
                  <c:v>3047.7207031656721</c:v>
                </c:pt>
                <c:pt idx="2">
                  <c:v>3925.3242160903046</c:v>
                </c:pt>
                <c:pt idx="3">
                  <c:v>3492.3393876597775</c:v>
                </c:pt>
                <c:pt idx="4">
                  <c:v>0</c:v>
                </c:pt>
              </c:numCache>
            </c:numRef>
          </c:val>
          <c:smooth val="0"/>
          <c:extLst>
            <c:ext xmlns:c16="http://schemas.microsoft.com/office/drawing/2014/chart" uri="{C3380CC4-5D6E-409C-BE32-E72D297353CC}">
              <c16:uniqueId val="{00000003-E4C3-40E3-A60E-8A8EAA0D5546}"/>
            </c:ext>
          </c:extLst>
        </c:ser>
        <c:dLbls>
          <c:showLegendKey val="0"/>
          <c:showVal val="0"/>
          <c:showCatName val="0"/>
          <c:showSerName val="0"/>
          <c:showPercent val="0"/>
          <c:showBubbleSize val="0"/>
        </c:dLbls>
        <c:marker val="1"/>
        <c:smooth val="0"/>
        <c:axId val="563316072"/>
        <c:axId val="563314272"/>
      </c:lineChart>
      <c:catAx>
        <c:axId val="563316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4272"/>
        <c:crosses val="autoZero"/>
        <c:auto val="1"/>
        <c:lblAlgn val="ctr"/>
        <c:lblOffset val="100"/>
        <c:noMultiLvlLbl val="1"/>
      </c:catAx>
      <c:valAx>
        <c:axId val="563314272"/>
        <c:scaling>
          <c:orientation val="minMax"/>
        </c:scaling>
        <c:delete val="0"/>
        <c:axPos val="l"/>
        <c:majorGridlines>
          <c:spPr>
            <a:ln w="9525" cap="flat" cmpd="sng" algn="ctr">
              <a:solidFill>
                <a:schemeClr val="tx1"/>
              </a:solidFill>
              <a:prstDash val="solid"/>
              <a:round/>
            </a:ln>
          </c:spPr>
        </c:majorGridlines>
        <c:numFmt formatCode="#,##0_);[Red]\(#,##0\)" sourceLinked="1"/>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6072"/>
        <c:crosses val="autoZero"/>
        <c:crossBetween val="between"/>
      </c:valAx>
    </c:plotArea>
    <c:legend>
      <c:legendPos val="b"/>
      <c:overlay val="0"/>
      <c:spPr>
        <a:noFill/>
        <a:ln>
          <a:solidFill>
            <a:schemeClr val="tx1"/>
          </a:solidFill>
          <a:prstDash val="solid"/>
        </a:ln>
      </c:spPr>
      <c:txPr>
        <a:bodyPr rot="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legend>
    <c:plotVisOnly val="1"/>
    <c:dispBlanksAs val="gap"/>
    <c:showDLblsOverMax val="1"/>
  </c:chart>
  <c:spPr>
    <a:solidFill>
      <a:schemeClr val="bg1"/>
    </a:solidFill>
    <a:ln w="9525" cap="flat" cmpd="sng" algn="ctr">
      <a:solidFill>
        <a:schemeClr val="tx1"/>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barChart>
        <c:barDir val="col"/>
        <c:grouping val="clustered"/>
        <c:varyColors val="0"/>
        <c:ser>
          <c:idx val="0"/>
          <c:order val="0"/>
          <c:tx>
            <c:v>売上</c:v>
          </c:tx>
          <c:spPr>
            <a:solidFill>
              <a:srgbClr val="CCFFCC"/>
            </a:solidFill>
            <a:ln>
              <a:noFill/>
              <a:prstDash val="solid"/>
            </a:ln>
          </c:spPr>
          <c:invertIfNegative val="0"/>
          <c:cat>
            <c:strRef>
              <c:f>決算分析!$C$89:$G$89</c:f>
              <c:strCache>
                <c:ptCount val="5"/>
                <c:pt idx="0">
                  <c:v>４期前</c:v>
                </c:pt>
                <c:pt idx="1">
                  <c:v>３期前</c:v>
                </c:pt>
                <c:pt idx="2">
                  <c:v>２期前</c:v>
                </c:pt>
                <c:pt idx="3">
                  <c:v>前期</c:v>
                </c:pt>
                <c:pt idx="4">
                  <c:v>（今期）</c:v>
                </c:pt>
              </c:strCache>
            </c:strRef>
          </c:cat>
          <c:val>
            <c:numRef>
              <c:f>決算分析!$C$54:$G$54</c:f>
              <c:numCache>
                <c:formatCode>#,##0_);[Red]\(#,##0\)</c:formatCode>
                <c:ptCount val="5"/>
                <c:pt idx="0">
                  <c:v>338571</c:v>
                </c:pt>
                <c:pt idx="1">
                  <c:v>303921</c:v>
                </c:pt>
                <c:pt idx="2">
                  <c:v>332590</c:v>
                </c:pt>
                <c:pt idx="3">
                  <c:v>331129</c:v>
                </c:pt>
                <c:pt idx="4">
                  <c:v>0</c:v>
                </c:pt>
              </c:numCache>
            </c:numRef>
          </c:val>
          <c:extLst>
            <c:ext xmlns:c16="http://schemas.microsoft.com/office/drawing/2014/chart" uri="{C3380CC4-5D6E-409C-BE32-E72D297353CC}">
              <c16:uniqueId val="{00000000-C884-4CBA-86DC-663F88CCDF24}"/>
            </c:ext>
          </c:extLst>
        </c:ser>
        <c:ser>
          <c:idx val="1"/>
          <c:order val="1"/>
          <c:tx>
            <c:v>粗利益</c:v>
          </c:tx>
          <c:spPr>
            <a:solidFill>
              <a:srgbClr val="99CCFF"/>
            </a:solidFill>
            <a:ln>
              <a:noFill/>
              <a:prstDash val="solid"/>
            </a:ln>
          </c:spPr>
          <c:invertIfNegative val="0"/>
          <c:cat>
            <c:strRef>
              <c:f>決算分析!$C$89:$G$89</c:f>
              <c:strCache>
                <c:ptCount val="5"/>
                <c:pt idx="0">
                  <c:v>４期前</c:v>
                </c:pt>
                <c:pt idx="1">
                  <c:v>３期前</c:v>
                </c:pt>
                <c:pt idx="2">
                  <c:v>２期前</c:v>
                </c:pt>
                <c:pt idx="3">
                  <c:v>前期</c:v>
                </c:pt>
                <c:pt idx="4">
                  <c:v>（今期）</c:v>
                </c:pt>
              </c:strCache>
            </c:strRef>
          </c:cat>
          <c:val>
            <c:numRef>
              <c:f>決算分析!$H$82:$L$82</c:f>
              <c:numCache>
                <c:formatCode>#,##0_);[Red]\(#,##0\)</c:formatCode>
                <c:ptCount val="5"/>
                <c:pt idx="0">
                  <c:v>158033</c:v>
                </c:pt>
                <c:pt idx="1">
                  <c:v>110749</c:v>
                </c:pt>
                <c:pt idx="2">
                  <c:v>123850</c:v>
                </c:pt>
                <c:pt idx="3">
                  <c:v>127668</c:v>
                </c:pt>
                <c:pt idx="4">
                  <c:v>0</c:v>
                </c:pt>
              </c:numCache>
            </c:numRef>
          </c:val>
          <c:extLst>
            <c:ext xmlns:c16="http://schemas.microsoft.com/office/drawing/2014/chart" uri="{C3380CC4-5D6E-409C-BE32-E72D297353CC}">
              <c16:uniqueId val="{00000001-C884-4CBA-86DC-663F88CCDF24}"/>
            </c:ext>
          </c:extLst>
        </c:ser>
        <c:ser>
          <c:idx val="2"/>
          <c:order val="2"/>
          <c:tx>
            <c:v>販管費</c:v>
          </c:tx>
          <c:spPr>
            <a:solidFill>
              <a:srgbClr val="FF99FF"/>
            </a:solidFill>
            <a:ln>
              <a:solidFill>
                <a:srgbClr val="FFFF00"/>
              </a:solidFill>
              <a:prstDash val="solid"/>
            </a:ln>
          </c:spPr>
          <c:invertIfNegative val="0"/>
          <c:cat>
            <c:strRef>
              <c:f>決算分析!$C$53:$G$53</c:f>
              <c:strCache>
                <c:ptCount val="5"/>
                <c:pt idx="0">
                  <c:v>４期前</c:v>
                </c:pt>
                <c:pt idx="1">
                  <c:v>３期前</c:v>
                </c:pt>
                <c:pt idx="2">
                  <c:v>２期前</c:v>
                </c:pt>
                <c:pt idx="3">
                  <c:v>前期</c:v>
                </c:pt>
                <c:pt idx="4">
                  <c:v>（今期）</c:v>
                </c:pt>
              </c:strCache>
            </c:strRef>
          </c:cat>
          <c:val>
            <c:numRef>
              <c:f>決算分析!$M$82:$Q$82</c:f>
              <c:numCache>
                <c:formatCode>#,##0_);[Red]\(#,##0\)</c:formatCode>
                <c:ptCount val="5"/>
                <c:pt idx="0">
                  <c:v>138726</c:v>
                </c:pt>
                <c:pt idx="1">
                  <c:v>97903</c:v>
                </c:pt>
                <c:pt idx="2">
                  <c:v>105228</c:v>
                </c:pt>
                <c:pt idx="3">
                  <c:v>116602</c:v>
                </c:pt>
                <c:pt idx="4">
                  <c:v>0</c:v>
                </c:pt>
              </c:numCache>
            </c:numRef>
          </c:val>
          <c:extLst>
            <c:ext xmlns:c16="http://schemas.microsoft.com/office/drawing/2014/chart" uri="{C3380CC4-5D6E-409C-BE32-E72D297353CC}">
              <c16:uniqueId val="{00000002-C884-4CBA-86DC-663F88CCDF24}"/>
            </c:ext>
          </c:extLst>
        </c:ser>
        <c:ser>
          <c:idx val="3"/>
          <c:order val="3"/>
          <c:tx>
            <c:v>経常利益</c:v>
          </c:tx>
          <c:spPr>
            <a:solidFill>
              <a:srgbClr val="FFFF99"/>
            </a:solidFill>
            <a:ln>
              <a:noFill/>
              <a:prstDash val="solid"/>
            </a:ln>
          </c:spPr>
          <c:invertIfNegative val="0"/>
          <c:cat>
            <c:strRef>
              <c:f>決算分析!$C$53:$G$53</c:f>
              <c:strCache>
                <c:ptCount val="5"/>
                <c:pt idx="0">
                  <c:v>４期前</c:v>
                </c:pt>
                <c:pt idx="1">
                  <c:v>３期前</c:v>
                </c:pt>
                <c:pt idx="2">
                  <c:v>２期前</c:v>
                </c:pt>
                <c:pt idx="3">
                  <c:v>前期</c:v>
                </c:pt>
                <c:pt idx="4">
                  <c:v>（今期）</c:v>
                </c:pt>
              </c:strCache>
            </c:strRef>
          </c:cat>
          <c:val>
            <c:numRef>
              <c:f>決算分析!$C$58:$G$58</c:f>
              <c:numCache>
                <c:formatCode>#,##0_);[Red]\(#,##0\)</c:formatCode>
                <c:ptCount val="5"/>
                <c:pt idx="0">
                  <c:v>21708</c:v>
                </c:pt>
                <c:pt idx="1">
                  <c:v>13646</c:v>
                </c:pt>
                <c:pt idx="2">
                  <c:v>21285</c:v>
                </c:pt>
                <c:pt idx="3">
                  <c:v>13348</c:v>
                </c:pt>
                <c:pt idx="4">
                  <c:v>0</c:v>
                </c:pt>
              </c:numCache>
            </c:numRef>
          </c:val>
          <c:extLst>
            <c:ext xmlns:c16="http://schemas.microsoft.com/office/drawing/2014/chart" uri="{C3380CC4-5D6E-409C-BE32-E72D297353CC}">
              <c16:uniqueId val="{00000003-C884-4CBA-86DC-663F88CCDF24}"/>
            </c:ext>
          </c:extLst>
        </c:ser>
        <c:dLbls>
          <c:showLegendKey val="0"/>
          <c:showVal val="0"/>
          <c:showCatName val="0"/>
          <c:showSerName val="0"/>
          <c:showPercent val="0"/>
          <c:showBubbleSize val="0"/>
        </c:dLbls>
        <c:gapWidth val="150"/>
        <c:axId val="563316072"/>
        <c:axId val="563314272"/>
      </c:barChart>
      <c:lineChart>
        <c:grouping val="standard"/>
        <c:varyColors val="0"/>
        <c:ser>
          <c:idx val="4"/>
          <c:order val="4"/>
          <c:tx>
            <c:v>粗利益率</c:v>
          </c:tx>
          <c:spPr>
            <a:ln w="19050" cap="rnd">
              <a:solidFill>
                <a:srgbClr val="000099"/>
              </a:solidFill>
              <a:prstDash val="solid"/>
              <a:round/>
            </a:ln>
          </c:spPr>
          <c:marker>
            <c:symbol val="diamond"/>
            <c:size val="6"/>
            <c:spPr>
              <a:solidFill>
                <a:srgbClr val="002060"/>
              </a:solidFill>
              <a:ln w="9525">
                <a:noFill/>
                <a:prstDash val="solid"/>
              </a:ln>
            </c:spPr>
          </c:marker>
          <c:dPt>
            <c:idx val="4"/>
            <c:marker>
              <c:spPr>
                <a:solidFill>
                  <a:srgbClr val="002060"/>
                </a:solidFill>
                <a:ln w="12700" cap="rnd">
                  <a:noFill/>
                  <a:prstDash val="solid"/>
                </a:ln>
              </c:spPr>
            </c:marker>
            <c:bubble3D val="0"/>
            <c:spPr>
              <a:ln>
                <a:prstDash val="solid"/>
              </a:ln>
            </c:spPr>
            <c:extLst>
              <c:ext xmlns:c16="http://schemas.microsoft.com/office/drawing/2014/chart" uri="{C3380CC4-5D6E-409C-BE32-E72D297353CC}">
                <c16:uniqueId val="{00000005-C884-4CBA-86DC-663F88CCDF24}"/>
              </c:ext>
            </c:extLst>
          </c:dPt>
          <c:cat>
            <c:strRef>
              <c:f>決算分析!$C$53:$G$53</c:f>
              <c:strCache>
                <c:ptCount val="5"/>
                <c:pt idx="0">
                  <c:v>４期前</c:v>
                </c:pt>
                <c:pt idx="1">
                  <c:v>３期前</c:v>
                </c:pt>
                <c:pt idx="2">
                  <c:v>２期前</c:v>
                </c:pt>
                <c:pt idx="3">
                  <c:v>前期</c:v>
                </c:pt>
                <c:pt idx="4">
                  <c:v>（今期）</c:v>
                </c:pt>
              </c:strCache>
            </c:strRef>
          </c:cat>
          <c:val>
            <c:numRef>
              <c:f>決算分析!$C$86:$G$86</c:f>
              <c:numCache>
                <c:formatCode>0.0%</c:formatCode>
                <c:ptCount val="5"/>
                <c:pt idx="0">
                  <c:v>0.46676472586252221</c:v>
                </c:pt>
                <c:pt idx="1">
                  <c:v>0.36440061726567102</c:v>
                </c:pt>
                <c:pt idx="2">
                  <c:v>0.37238040831053248</c:v>
                </c:pt>
                <c:pt idx="3">
                  <c:v>0.3855536663958759</c:v>
                </c:pt>
                <c:pt idx="4">
                  <c:v>0</c:v>
                </c:pt>
              </c:numCache>
            </c:numRef>
          </c:val>
          <c:smooth val="0"/>
          <c:extLst>
            <c:ext xmlns:c16="http://schemas.microsoft.com/office/drawing/2014/chart" uri="{C3380CC4-5D6E-409C-BE32-E72D297353CC}">
              <c16:uniqueId val="{00000006-C884-4CBA-86DC-663F88CCDF24}"/>
            </c:ext>
          </c:extLst>
        </c:ser>
        <c:ser>
          <c:idx val="5"/>
          <c:order val="5"/>
          <c:tx>
            <c:v>販管費比率</c:v>
          </c:tx>
          <c:spPr>
            <a:ln w="19050" cap="rnd">
              <a:solidFill>
                <a:srgbClr val="FF00FF"/>
              </a:solidFill>
              <a:prstDash val="solid"/>
              <a:round/>
            </a:ln>
          </c:spPr>
          <c:marker>
            <c:symbol val="square"/>
            <c:size val="5"/>
            <c:spPr>
              <a:solidFill>
                <a:srgbClr val="FF00FF"/>
              </a:solidFill>
              <a:ln w="9525">
                <a:noFill/>
                <a:prstDash val="solid"/>
              </a:ln>
            </c:spPr>
          </c:marker>
          <c:cat>
            <c:strRef>
              <c:f>決算分析!$C$53:$G$53</c:f>
              <c:strCache>
                <c:ptCount val="5"/>
                <c:pt idx="0">
                  <c:v>４期前</c:v>
                </c:pt>
                <c:pt idx="1">
                  <c:v>３期前</c:v>
                </c:pt>
                <c:pt idx="2">
                  <c:v>２期前</c:v>
                </c:pt>
                <c:pt idx="3">
                  <c:v>前期</c:v>
                </c:pt>
                <c:pt idx="4">
                  <c:v>（今期）</c:v>
                </c:pt>
              </c:strCache>
            </c:strRef>
          </c:cat>
          <c:val>
            <c:numRef>
              <c:f>決算分析!$H$86:$L$86</c:f>
              <c:numCache>
                <c:formatCode>0.0%</c:formatCode>
                <c:ptCount val="5"/>
                <c:pt idx="0">
                  <c:v>0.40973975916425209</c:v>
                </c:pt>
                <c:pt idx="1">
                  <c:v>0.32213305431345646</c:v>
                </c:pt>
                <c:pt idx="2">
                  <c:v>0.31638954869358671</c:v>
                </c:pt>
                <c:pt idx="3">
                  <c:v>0.35213466654989445</c:v>
                </c:pt>
                <c:pt idx="4">
                  <c:v>0</c:v>
                </c:pt>
              </c:numCache>
            </c:numRef>
          </c:val>
          <c:smooth val="0"/>
          <c:extLst>
            <c:ext xmlns:c16="http://schemas.microsoft.com/office/drawing/2014/chart" uri="{C3380CC4-5D6E-409C-BE32-E72D297353CC}">
              <c16:uniqueId val="{00000007-C884-4CBA-86DC-663F88CCDF24}"/>
            </c:ext>
          </c:extLst>
        </c:ser>
        <c:ser>
          <c:idx val="6"/>
          <c:order val="6"/>
          <c:tx>
            <c:v>経常利益率</c:v>
          </c:tx>
          <c:spPr>
            <a:ln w="19050" cap="rnd">
              <a:solidFill>
                <a:srgbClr val="FFFF00"/>
              </a:solidFill>
              <a:prstDash val="solid"/>
              <a:round/>
            </a:ln>
          </c:spPr>
          <c:marker>
            <c:symbol val="triangle"/>
            <c:size val="6"/>
            <c:spPr>
              <a:solidFill>
                <a:srgbClr val="FFFF00"/>
              </a:solidFill>
              <a:ln w="9525">
                <a:solidFill>
                  <a:srgbClr val="FFFF00"/>
                </a:solidFill>
                <a:prstDash val="solid"/>
              </a:ln>
            </c:spPr>
          </c:marker>
          <c:cat>
            <c:strRef>
              <c:f>決算分析!$C$53:$G$53</c:f>
              <c:strCache>
                <c:ptCount val="5"/>
                <c:pt idx="0">
                  <c:v>４期前</c:v>
                </c:pt>
                <c:pt idx="1">
                  <c:v>３期前</c:v>
                </c:pt>
                <c:pt idx="2">
                  <c:v>２期前</c:v>
                </c:pt>
                <c:pt idx="3">
                  <c:v>前期</c:v>
                </c:pt>
                <c:pt idx="4">
                  <c:v>（今期）</c:v>
                </c:pt>
              </c:strCache>
            </c:strRef>
          </c:cat>
          <c:val>
            <c:numRef>
              <c:f>決算分析!$M$86:$Q$86</c:f>
              <c:numCache>
                <c:formatCode>0.0%</c:formatCode>
                <c:ptCount val="5"/>
                <c:pt idx="0">
                  <c:v>6.4116536856375764E-2</c:v>
                </c:pt>
                <c:pt idx="1">
                  <c:v>4.4899825941609829E-2</c:v>
                </c:pt>
                <c:pt idx="2">
                  <c:v>6.3997714904236447E-2</c:v>
                </c:pt>
                <c:pt idx="3">
                  <c:v>4.031057382470276E-2</c:v>
                </c:pt>
                <c:pt idx="4">
                  <c:v>0</c:v>
                </c:pt>
              </c:numCache>
            </c:numRef>
          </c:val>
          <c:smooth val="0"/>
          <c:extLst>
            <c:ext xmlns:c16="http://schemas.microsoft.com/office/drawing/2014/chart" uri="{C3380CC4-5D6E-409C-BE32-E72D297353CC}">
              <c16:uniqueId val="{00000008-C884-4CBA-86DC-663F88CCDF24}"/>
            </c:ext>
          </c:extLst>
        </c:ser>
        <c:dLbls>
          <c:showLegendKey val="0"/>
          <c:showVal val="0"/>
          <c:showCatName val="0"/>
          <c:showSerName val="0"/>
          <c:showPercent val="0"/>
          <c:showBubbleSize val="0"/>
        </c:dLbls>
        <c:marker val="1"/>
        <c:smooth val="0"/>
        <c:axId val="711779872"/>
        <c:axId val="711789232"/>
      </c:lineChart>
      <c:catAx>
        <c:axId val="563316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4272"/>
        <c:crosses val="autoZero"/>
        <c:auto val="1"/>
        <c:lblAlgn val="ctr"/>
        <c:lblOffset val="100"/>
        <c:noMultiLvlLbl val="1"/>
      </c:catAx>
      <c:valAx>
        <c:axId val="563314272"/>
        <c:scaling>
          <c:orientation val="minMax"/>
        </c:scaling>
        <c:delete val="0"/>
        <c:axPos val="l"/>
        <c:majorGridlines>
          <c:spPr>
            <a:ln w="9525" cap="flat" cmpd="sng" algn="ctr">
              <a:solidFill>
                <a:schemeClr val="tx1"/>
              </a:solidFill>
              <a:prstDash val="solid"/>
              <a:round/>
            </a:ln>
          </c:spPr>
        </c:majorGridlines>
        <c:numFmt formatCode="#,##0_);[Red]\(#,##0\)" sourceLinked="1"/>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6072"/>
        <c:crosses val="autoZero"/>
        <c:crossBetween val="between"/>
      </c:valAx>
      <c:catAx>
        <c:axId val="711779872"/>
        <c:scaling>
          <c:orientation val="minMax"/>
        </c:scaling>
        <c:delete val="1"/>
        <c:axPos val="t"/>
        <c:numFmt formatCode="General" sourceLinked="1"/>
        <c:majorTickMark val="out"/>
        <c:minorTickMark val="none"/>
        <c:tickLblPos val="nextTo"/>
        <c:crossAx val="711789232"/>
        <c:crosses val="max"/>
        <c:auto val="1"/>
        <c:lblAlgn val="ctr"/>
        <c:lblOffset val="100"/>
        <c:noMultiLvlLbl val="0"/>
      </c:catAx>
      <c:valAx>
        <c:axId val="711789232"/>
        <c:scaling>
          <c:orientation val="minMax"/>
        </c:scaling>
        <c:delete val="0"/>
        <c:axPos val="r"/>
        <c:majorGridlines>
          <c:spPr>
            <a:ln w="9525" cap="flat" cmpd="sng" algn="ctr">
              <a:solidFill>
                <a:schemeClr val="tx1">
                  <a:lumMod val="15000"/>
                  <a:lumOff val="85000"/>
                </a:schemeClr>
              </a:solidFill>
              <a:prstDash val="solid"/>
              <a:round/>
            </a:ln>
          </c:spPr>
        </c:majorGridlines>
        <c:numFmt formatCode="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711779872"/>
        <c:crosses val="max"/>
        <c:crossBetween val="between"/>
      </c:valAx>
    </c:plotArea>
    <c:legend>
      <c:legendPos val="b"/>
      <c:overlay val="0"/>
      <c:spPr>
        <a:noFill/>
        <a:ln>
          <a:solidFill>
            <a:schemeClr val="tx1"/>
          </a:solidFill>
          <a:prstDash val="solid"/>
        </a:ln>
      </c:spPr>
      <c:txPr>
        <a:bodyPr rot="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legend>
    <c:plotVisOnly val="1"/>
    <c:dispBlanksAs val="gap"/>
    <c:showDLblsOverMax val="1"/>
  </c:chart>
  <c:spPr>
    <a:solidFill>
      <a:schemeClr val="bg1"/>
    </a:solidFill>
    <a:ln w="9525" cap="flat" cmpd="sng" algn="ctr">
      <a:solidFill>
        <a:schemeClr val="tx1"/>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autoTitleDeleted val="1"/>
    <c:plotArea>
      <c:layout/>
      <c:barChart>
        <c:barDir val="col"/>
        <c:grouping val="clustered"/>
        <c:varyColors val="0"/>
        <c:ser>
          <c:idx val="0"/>
          <c:order val="0"/>
          <c:tx>
            <c:v>ＲＯＡ</c:v>
          </c:tx>
          <c:spPr>
            <a:solidFill>
              <a:srgbClr val="993366"/>
            </a:solidFill>
            <a:ln>
              <a:noFill/>
              <a:prstDash val="solid"/>
            </a:ln>
          </c:spPr>
          <c:invertIfNegative val="0"/>
          <c:cat>
            <c:strRef>
              <c:f>決算分析!$C$89:$G$89</c:f>
              <c:strCache>
                <c:ptCount val="5"/>
                <c:pt idx="0">
                  <c:v>４期前</c:v>
                </c:pt>
                <c:pt idx="1">
                  <c:v>３期前</c:v>
                </c:pt>
                <c:pt idx="2">
                  <c:v>２期前</c:v>
                </c:pt>
                <c:pt idx="3">
                  <c:v>前期</c:v>
                </c:pt>
                <c:pt idx="4">
                  <c:v>（今期）</c:v>
                </c:pt>
              </c:strCache>
            </c:strRef>
          </c:cat>
          <c:val>
            <c:numRef>
              <c:f>決算分析!$C$94:$G$94</c:f>
              <c:numCache>
                <c:formatCode>0.0%</c:formatCode>
                <c:ptCount val="5"/>
                <c:pt idx="0">
                  <c:v>4.2595130975907156E-2</c:v>
                </c:pt>
                <c:pt idx="1">
                  <c:v>2.5882792855284834E-2</c:v>
                </c:pt>
                <c:pt idx="2">
                  <c:v>3.764943410243516E-2</c:v>
                </c:pt>
                <c:pt idx="3">
                  <c:v>2.473350257166378E-2</c:v>
                </c:pt>
                <c:pt idx="4">
                  <c:v>0</c:v>
                </c:pt>
              </c:numCache>
            </c:numRef>
          </c:val>
          <c:extLst>
            <c:ext xmlns:c16="http://schemas.microsoft.com/office/drawing/2014/chart" uri="{C3380CC4-5D6E-409C-BE32-E72D297353CC}">
              <c16:uniqueId val="{00000000-3E9E-4AB2-87F7-F3B240AD17E7}"/>
            </c:ext>
          </c:extLst>
        </c:ser>
        <c:ser>
          <c:idx val="1"/>
          <c:order val="1"/>
          <c:tx>
            <c:v>ＲＯＥ</c:v>
          </c:tx>
          <c:spPr>
            <a:solidFill>
              <a:srgbClr val="9999FF"/>
            </a:solidFill>
            <a:ln>
              <a:noFill/>
              <a:prstDash val="solid"/>
            </a:ln>
          </c:spPr>
          <c:invertIfNegative val="0"/>
          <c:cat>
            <c:strRef>
              <c:f>決算分析!$C$89:$G$89</c:f>
              <c:strCache>
                <c:ptCount val="5"/>
                <c:pt idx="0">
                  <c:v>４期前</c:v>
                </c:pt>
                <c:pt idx="1">
                  <c:v>３期前</c:v>
                </c:pt>
                <c:pt idx="2">
                  <c:v>２期前</c:v>
                </c:pt>
                <c:pt idx="3">
                  <c:v>前期</c:v>
                </c:pt>
                <c:pt idx="4">
                  <c:v>（今期）</c:v>
                </c:pt>
              </c:strCache>
            </c:strRef>
          </c:cat>
          <c:val>
            <c:numRef>
              <c:f>決算分析!$H$94:$L$94</c:f>
              <c:numCache>
                <c:formatCode>0.0%</c:formatCode>
                <c:ptCount val="5"/>
                <c:pt idx="0">
                  <c:v>6.3006008035592101E-2</c:v>
                </c:pt>
                <c:pt idx="1">
                  <c:v>3.9026801764994269E-2</c:v>
                </c:pt>
                <c:pt idx="2">
                  <c:v>5.6627115036713839E-2</c:v>
                </c:pt>
                <c:pt idx="3">
                  <c:v>3.4276113544486751E-2</c:v>
                </c:pt>
                <c:pt idx="4">
                  <c:v>0</c:v>
                </c:pt>
              </c:numCache>
            </c:numRef>
          </c:val>
          <c:extLst>
            <c:ext xmlns:c16="http://schemas.microsoft.com/office/drawing/2014/chart" uri="{C3380CC4-5D6E-409C-BE32-E72D297353CC}">
              <c16:uniqueId val="{00000001-3E9E-4AB2-87F7-F3B240AD17E7}"/>
            </c:ext>
          </c:extLst>
        </c:ser>
        <c:dLbls>
          <c:showLegendKey val="0"/>
          <c:showVal val="0"/>
          <c:showCatName val="0"/>
          <c:showSerName val="0"/>
          <c:showPercent val="0"/>
          <c:showBubbleSize val="0"/>
        </c:dLbls>
        <c:gapWidth val="150"/>
        <c:axId val="563316072"/>
        <c:axId val="563314272"/>
      </c:barChart>
      <c:lineChart>
        <c:grouping val="standard"/>
        <c:varyColors val="0"/>
        <c:ser>
          <c:idx val="2"/>
          <c:order val="2"/>
          <c:tx>
            <c:v>ＰＥＲ</c:v>
          </c:tx>
          <c:spPr>
            <a:ln w="19050" cap="rnd">
              <a:solidFill>
                <a:srgbClr val="FFFF00"/>
              </a:solidFill>
              <a:prstDash val="solid"/>
              <a:round/>
            </a:ln>
          </c:spPr>
          <c:marker>
            <c:symbol val="triangle"/>
            <c:size val="6"/>
            <c:spPr>
              <a:solidFill>
                <a:srgbClr val="FFFF00"/>
              </a:solidFill>
              <a:ln w="9525">
                <a:noFill/>
                <a:prstDash val="solid"/>
              </a:ln>
            </c:spPr>
          </c:marker>
          <c:cat>
            <c:strRef>
              <c:f>決算分析!$C$93:$G$93</c:f>
              <c:strCache>
                <c:ptCount val="5"/>
                <c:pt idx="0">
                  <c:v>４期前</c:v>
                </c:pt>
                <c:pt idx="1">
                  <c:v>３期前</c:v>
                </c:pt>
                <c:pt idx="2">
                  <c:v>２期前</c:v>
                </c:pt>
                <c:pt idx="3">
                  <c:v>前期</c:v>
                </c:pt>
                <c:pt idx="4">
                  <c:v>（今期）</c:v>
                </c:pt>
              </c:strCache>
            </c:strRef>
          </c:cat>
          <c:val>
            <c:numRef>
              <c:f>決算分析!$C$106:$G$106</c:f>
              <c:numCache>
                <c:formatCode>#,##0.0;[Red]\-#,##0.0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3E9E-4AB2-87F7-F3B240AD17E7}"/>
            </c:ext>
          </c:extLst>
        </c:ser>
        <c:ser>
          <c:idx val="3"/>
          <c:order val="3"/>
          <c:tx>
            <c:v>理論ＰＥＲ</c:v>
          </c:tx>
          <c:spPr>
            <a:ln w="19050" cap="rnd">
              <a:solidFill>
                <a:srgbClr val="00FFFF"/>
              </a:solidFill>
              <a:prstDash val="solid"/>
              <a:round/>
            </a:ln>
          </c:spPr>
          <c:marker>
            <c:symbol val="x"/>
            <c:size val="6"/>
            <c:spPr>
              <a:noFill/>
              <a:ln w="9525">
                <a:solidFill>
                  <a:srgbClr val="00FFFF"/>
                </a:solidFill>
                <a:prstDash val="solid"/>
              </a:ln>
            </c:spPr>
          </c:marker>
          <c:cat>
            <c:strRef>
              <c:f>決算分析!$C$93:$G$93</c:f>
              <c:strCache>
                <c:ptCount val="5"/>
                <c:pt idx="0">
                  <c:v>４期前</c:v>
                </c:pt>
                <c:pt idx="1">
                  <c:v>３期前</c:v>
                </c:pt>
                <c:pt idx="2">
                  <c:v>２期前</c:v>
                </c:pt>
                <c:pt idx="3">
                  <c:v>前期</c:v>
                </c:pt>
                <c:pt idx="4">
                  <c:v>（今期）</c:v>
                </c:pt>
              </c:strCache>
            </c:strRef>
          </c:cat>
          <c:val>
            <c:numRef>
              <c:f>決算分析!$H$106:$L$106</c:f>
              <c:numCache>
                <c:formatCode>0.0</c:formatCode>
                <c:ptCount val="5"/>
                <c:pt idx="0">
                  <c:v>18.292896354117261</c:v>
                </c:pt>
                <c:pt idx="1">
                  <c:v>21.845369768676036</c:v>
                </c:pt>
                <c:pt idx="2">
                  <c:v>18.038128690712508</c:v>
                </c:pt>
                <c:pt idx="3">
                  <c:v>25.591152574413464</c:v>
                </c:pt>
                <c:pt idx="4">
                  <c:v>0</c:v>
                </c:pt>
              </c:numCache>
            </c:numRef>
          </c:val>
          <c:smooth val="0"/>
          <c:extLst>
            <c:ext xmlns:c16="http://schemas.microsoft.com/office/drawing/2014/chart" uri="{C3380CC4-5D6E-409C-BE32-E72D297353CC}">
              <c16:uniqueId val="{00000003-3E9E-4AB2-87F7-F3B240AD17E7}"/>
            </c:ext>
          </c:extLst>
        </c:ser>
        <c:dLbls>
          <c:showLegendKey val="0"/>
          <c:showVal val="0"/>
          <c:showCatName val="0"/>
          <c:showSerName val="0"/>
          <c:showPercent val="0"/>
          <c:showBubbleSize val="0"/>
        </c:dLbls>
        <c:marker val="1"/>
        <c:smooth val="0"/>
        <c:axId val="711779872"/>
        <c:axId val="711789232"/>
      </c:lineChart>
      <c:catAx>
        <c:axId val="563316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4272"/>
        <c:crosses val="autoZero"/>
        <c:auto val="1"/>
        <c:lblAlgn val="ctr"/>
        <c:lblOffset val="100"/>
        <c:noMultiLvlLbl val="1"/>
      </c:catAx>
      <c:valAx>
        <c:axId val="563314272"/>
        <c:scaling>
          <c:orientation val="minMax"/>
        </c:scaling>
        <c:delete val="0"/>
        <c:axPos val="l"/>
        <c:majorGridlines>
          <c:spPr>
            <a:ln w="9525" cap="flat" cmpd="sng" algn="ctr">
              <a:solidFill>
                <a:schemeClr val="tx1"/>
              </a:solidFill>
              <a:prstDash val="solid"/>
              <a:round/>
            </a:ln>
          </c:spPr>
        </c:majorGridlines>
        <c:numFmt formatCode="0.0%" sourceLinked="1"/>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563316072"/>
        <c:crosses val="autoZero"/>
        <c:crossBetween val="between"/>
      </c:valAx>
      <c:catAx>
        <c:axId val="711779872"/>
        <c:scaling>
          <c:orientation val="minMax"/>
        </c:scaling>
        <c:delete val="1"/>
        <c:axPos val="t"/>
        <c:numFmt formatCode="General" sourceLinked="1"/>
        <c:majorTickMark val="out"/>
        <c:minorTickMark val="none"/>
        <c:tickLblPos val="nextTo"/>
        <c:crossAx val="711789232"/>
        <c:crosses val="max"/>
        <c:auto val="1"/>
        <c:lblAlgn val="ctr"/>
        <c:lblOffset val="100"/>
        <c:noMultiLvlLbl val="0"/>
      </c:catAx>
      <c:valAx>
        <c:axId val="711789232"/>
        <c:scaling>
          <c:orientation val="minMax"/>
        </c:scaling>
        <c:delete val="0"/>
        <c:axPos val="r"/>
        <c:majorGridlines>
          <c:spPr>
            <a:ln w="9525" cap="flat" cmpd="sng" algn="ctr">
              <a:solidFill>
                <a:schemeClr val="tx1">
                  <a:lumMod val="15000"/>
                  <a:lumOff val="85000"/>
                </a:schemeClr>
              </a:solidFill>
              <a:prstDash val="solid"/>
              <a:round/>
            </a:ln>
          </c:spPr>
        </c:majorGridlines>
        <c:numFmt formatCode="#,##0.0;[Red]\-#,##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crossAx val="711779872"/>
        <c:crosses val="max"/>
        <c:crossBetween val="between"/>
      </c:valAx>
    </c:plotArea>
    <c:legend>
      <c:legendPos val="b"/>
      <c:overlay val="0"/>
      <c:spPr>
        <a:noFill/>
        <a:ln>
          <a:solidFill>
            <a:schemeClr val="tx1"/>
          </a:solidFill>
          <a:prstDash val="solid"/>
        </a:ln>
      </c:spPr>
      <c:txPr>
        <a:bodyPr rot="0" spcFirstLastPara="1" vertOverflow="ellipsis" vert="horz" wrap="square" anchor="ctr" anchorCtr="1"/>
        <a:lstStyle/>
        <a:p>
          <a:pPr>
            <a:defRPr sz="900" b="0" i="0" strike="noStrike" kern="1200" baseline="0">
              <a:solidFill>
                <a:schemeClr val="tx1"/>
              </a:solidFill>
              <a:latin typeface="ＭＳ Ｐゴシック" panose="020B0600070205080204" pitchFamily="50" charset="-128"/>
              <a:ea typeface="ＭＳ Ｐゴシック" panose="020B0600070205080204" pitchFamily="50" charset="-128"/>
              <a:cs typeface="+mn-cs"/>
            </a:defRPr>
          </a:pPr>
          <a:endParaRPr lang="ja-JP"/>
        </a:p>
      </c:txPr>
    </c:legend>
    <c:plotVisOnly val="1"/>
    <c:dispBlanksAs val="gap"/>
    <c:showDLblsOverMax val="1"/>
  </c:chart>
  <c:spPr>
    <a:solidFill>
      <a:schemeClr val="bg1"/>
    </a:solidFill>
    <a:ln w="9525" cap="flat" cmpd="sng" algn="ctr">
      <a:solidFill>
        <a:schemeClr val="tx1"/>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41412</xdr:colOff>
      <xdr:row>22</xdr:row>
      <xdr:rowOff>44720</xdr:rowOff>
    </xdr:from>
    <xdr:to>
      <xdr:col>6</xdr:col>
      <xdr:colOff>596348</xdr:colOff>
      <xdr:row>35</xdr:row>
      <xdr:rowOff>57972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33131</xdr:colOff>
      <xdr:row>36</xdr:row>
      <xdr:rowOff>41404</xdr:rowOff>
    </xdr:from>
    <xdr:to>
      <xdr:col>16</xdr:col>
      <xdr:colOff>596348</xdr:colOff>
      <xdr:row>49</xdr:row>
      <xdr:rowOff>54656</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33126</xdr:colOff>
      <xdr:row>22</xdr:row>
      <xdr:rowOff>36440</xdr:rowOff>
    </xdr:from>
    <xdr:to>
      <xdr:col>11</xdr:col>
      <xdr:colOff>621196</xdr:colOff>
      <xdr:row>35</xdr:row>
      <xdr:rowOff>66261</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24847</xdr:colOff>
      <xdr:row>22</xdr:row>
      <xdr:rowOff>41412</xdr:rowOff>
    </xdr:from>
    <xdr:to>
      <xdr:col>16</xdr:col>
      <xdr:colOff>612917</xdr:colOff>
      <xdr:row>35</xdr:row>
      <xdr:rowOff>71233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8282</xdr:colOff>
      <xdr:row>36</xdr:row>
      <xdr:rowOff>33129</xdr:rowOff>
    </xdr:from>
    <xdr:to>
      <xdr:col>6</xdr:col>
      <xdr:colOff>579782</xdr:colOff>
      <xdr:row>49</xdr:row>
      <xdr:rowOff>62950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16566</xdr:colOff>
      <xdr:row>36</xdr:row>
      <xdr:rowOff>33132</xdr:rowOff>
    </xdr:from>
    <xdr:to>
      <xdr:col>11</xdr:col>
      <xdr:colOff>604636</xdr:colOff>
      <xdr:row>49</xdr:row>
      <xdr:rowOff>62953</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74"/>
  <sheetViews>
    <sheetView zoomScaleNormal="100" workbookViewId="0">
      <selection activeCell="L2" sqref="L2:M2"/>
    </sheetView>
  </sheetViews>
  <sheetFormatPr defaultRowHeight="13.5" x14ac:dyDescent="0.4"/>
  <cols>
    <col min="1" max="1" width="2.125" style="1" customWidth="1"/>
    <col min="2" max="2" width="16.125" style="1" customWidth="1"/>
    <col min="3" max="17" width="8.375" style="1" customWidth="1"/>
    <col min="18" max="19" width="9" style="1" customWidth="1"/>
    <col min="20" max="16384" width="9" style="1"/>
  </cols>
  <sheetData>
    <row r="1" spans="1:17" ht="14.1" customHeight="1" x14ac:dyDescent="0.4">
      <c r="E1" s="2"/>
      <c r="F1" s="3"/>
      <c r="G1" s="4"/>
      <c r="H1" s="5"/>
      <c r="I1" s="6"/>
      <c r="K1" s="7" t="s">
        <v>0</v>
      </c>
      <c r="L1" s="150" t="s">
        <v>1</v>
      </c>
      <c r="M1" s="147"/>
      <c r="N1" s="7" t="s">
        <v>2</v>
      </c>
      <c r="O1" s="7" t="s">
        <v>3</v>
      </c>
      <c r="P1" s="150" t="s">
        <v>4</v>
      </c>
      <c r="Q1" s="147"/>
    </row>
    <row r="2" spans="1:17" ht="14.1" customHeight="1" x14ac:dyDescent="0.4">
      <c r="E2" s="8"/>
      <c r="F2" s="9"/>
      <c r="I2" s="10"/>
      <c r="K2" s="65">
        <v>2206</v>
      </c>
      <c r="L2" s="148" t="s">
        <v>5</v>
      </c>
      <c r="M2" s="149"/>
      <c r="N2" s="65">
        <v>2025</v>
      </c>
      <c r="O2" s="65">
        <v>12</v>
      </c>
      <c r="P2" s="146">
        <f ca="1">NOW()</f>
        <v>46080.831258333332</v>
      </c>
      <c r="Q2" s="147"/>
    </row>
    <row r="3" spans="1:17" ht="14.1" customHeight="1" x14ac:dyDescent="0.4">
      <c r="A3" s="1" t="s">
        <v>6</v>
      </c>
    </row>
    <row r="4" spans="1:17" ht="14.1" customHeight="1" x14ac:dyDescent="0.15">
      <c r="B4" s="11"/>
      <c r="C4" s="12" t="str">
        <f>LEFT(F4,4)-1&amp;"年"</f>
        <v>2021年</v>
      </c>
      <c r="D4" s="13" t="str">
        <f>G4</f>
        <v>12 月期</v>
      </c>
      <c r="E4" s="14" t="s">
        <v>7</v>
      </c>
      <c r="F4" s="12" t="str">
        <f>LEFT(I4,4)-1&amp;"年"</f>
        <v>2022年</v>
      </c>
      <c r="G4" s="13" t="str">
        <f>J4</f>
        <v>12 月期</v>
      </c>
      <c r="H4" s="14" t="s">
        <v>7</v>
      </c>
      <c r="I4" s="12" t="str">
        <f>LEFT(L4,4)-1&amp;"年"</f>
        <v>2023年</v>
      </c>
      <c r="J4" s="13" t="str">
        <f>M4</f>
        <v>12 月期</v>
      </c>
      <c r="K4" s="14" t="s">
        <v>7</v>
      </c>
      <c r="L4" s="12" t="str">
        <f>LEFT(O4,4)-1&amp;"年"</f>
        <v>2024年</v>
      </c>
      <c r="M4" s="13" t="str">
        <f>P4</f>
        <v>12 月期</v>
      </c>
      <c r="N4" s="14" t="s">
        <v>7</v>
      </c>
      <c r="O4" s="12" t="str">
        <f>N2 &amp;" 年"</f>
        <v>2025 年</v>
      </c>
      <c r="P4" s="13" t="str">
        <f>O2 &amp;" 月期"</f>
        <v>12 月期</v>
      </c>
      <c r="Q4" s="14" t="s">
        <v>7</v>
      </c>
    </row>
    <row r="5" spans="1:17" ht="14.1" customHeight="1" x14ac:dyDescent="0.15">
      <c r="B5" s="11" t="s">
        <v>8</v>
      </c>
      <c r="C5" s="15"/>
      <c r="D5" s="100">
        <v>338571</v>
      </c>
      <c r="E5" s="16" t="s">
        <v>9</v>
      </c>
      <c r="F5" s="15"/>
      <c r="G5" s="100">
        <v>303921</v>
      </c>
      <c r="H5" s="16" t="str">
        <f>E5</f>
        <v>百万</v>
      </c>
      <c r="I5" s="15"/>
      <c r="J5" s="100">
        <v>332590</v>
      </c>
      <c r="K5" s="16" t="str">
        <f>E5</f>
        <v>百万</v>
      </c>
      <c r="L5" s="15"/>
      <c r="M5" s="101">
        <v>331129</v>
      </c>
      <c r="N5" s="16" t="str">
        <f>E5</f>
        <v>百万</v>
      </c>
      <c r="O5" s="15"/>
      <c r="P5" s="52">
        <f>IF(P30,P30,IF(M30,M30,IF(J30,J30,IF(G30,G30,IF(D30,D30,0)))))</f>
        <v>0</v>
      </c>
      <c r="Q5" s="16" t="str">
        <f>H5</f>
        <v>百万</v>
      </c>
    </row>
    <row r="6" spans="1:17" ht="14.1" customHeight="1" x14ac:dyDescent="0.15">
      <c r="B6" s="11" t="s">
        <v>10</v>
      </c>
      <c r="C6" s="15"/>
      <c r="D6" s="101">
        <v>180537</v>
      </c>
      <c r="E6" s="53">
        <f t="shared" ref="E6:E11" si="0">IF(D$5,D6/D$5,"-")</f>
        <v>0.53323232054724123</v>
      </c>
      <c r="F6" s="15"/>
      <c r="G6" s="102">
        <v>193172</v>
      </c>
      <c r="H6" s="53">
        <f t="shared" ref="H6:H11" si="1">IF(G$5,G6/G$5,"-")</f>
        <v>0.63559938273432903</v>
      </c>
      <c r="I6" s="15"/>
      <c r="J6" s="102">
        <v>208740</v>
      </c>
      <c r="K6" s="53">
        <f t="shared" ref="K6:K11" si="2">IF(J$5,J6/J$5,"-")</f>
        <v>0.62761959168946746</v>
      </c>
      <c r="L6" s="15"/>
      <c r="M6" s="102">
        <v>203461</v>
      </c>
      <c r="N6" s="53">
        <f t="shared" ref="N6:N11" si="3">IF(M$5,M6/M$5,"-")</f>
        <v>0.61444633360412404</v>
      </c>
      <c r="O6" s="15"/>
      <c r="P6" s="102"/>
      <c r="Q6" s="53" t="str">
        <f t="shared" ref="Q6:Q11" si="4">IF(P$5,P6/P$5,"-")</f>
        <v>-</v>
      </c>
    </row>
    <row r="7" spans="1:17" ht="14.1" customHeight="1" x14ac:dyDescent="0.15">
      <c r="B7" s="11" t="s">
        <v>11</v>
      </c>
      <c r="C7" s="15"/>
      <c r="D7" s="102">
        <v>158033</v>
      </c>
      <c r="E7" s="53">
        <f t="shared" si="0"/>
        <v>0.46676472586252221</v>
      </c>
      <c r="F7" s="15"/>
      <c r="G7" s="100">
        <v>110749</v>
      </c>
      <c r="H7" s="53">
        <f t="shared" si="1"/>
        <v>0.36440061726567102</v>
      </c>
      <c r="I7" s="15"/>
      <c r="J7" s="100">
        <v>123850</v>
      </c>
      <c r="K7" s="53">
        <f t="shared" si="2"/>
        <v>0.37238040831053248</v>
      </c>
      <c r="L7" s="15"/>
      <c r="M7" s="100">
        <v>127668</v>
      </c>
      <c r="N7" s="53">
        <f t="shared" si="3"/>
        <v>0.3855536663958759</v>
      </c>
      <c r="O7" s="15"/>
      <c r="P7" s="100"/>
      <c r="Q7" s="53" t="str">
        <f t="shared" si="4"/>
        <v>-</v>
      </c>
    </row>
    <row r="8" spans="1:17" ht="14.1" customHeight="1" x14ac:dyDescent="0.15">
      <c r="B8" s="11" t="s">
        <v>12</v>
      </c>
      <c r="C8" s="15"/>
      <c r="D8" s="100">
        <v>138726</v>
      </c>
      <c r="E8" s="53">
        <f t="shared" si="0"/>
        <v>0.40973975916425209</v>
      </c>
      <c r="F8" s="15"/>
      <c r="G8" s="102">
        <v>97903</v>
      </c>
      <c r="H8" s="53">
        <f t="shared" si="1"/>
        <v>0.32213305431345646</v>
      </c>
      <c r="I8" s="15"/>
      <c r="J8" s="102">
        <v>105228</v>
      </c>
      <c r="K8" s="53">
        <f t="shared" si="2"/>
        <v>0.31638954869358671</v>
      </c>
      <c r="L8" s="15"/>
      <c r="M8" s="102">
        <v>116602</v>
      </c>
      <c r="N8" s="53">
        <f t="shared" si="3"/>
        <v>0.35213466654989445</v>
      </c>
      <c r="O8" s="15"/>
      <c r="P8" s="102"/>
      <c r="Q8" s="53" t="str">
        <f t="shared" si="4"/>
        <v>-</v>
      </c>
    </row>
    <row r="9" spans="1:17" ht="14.1" customHeight="1" x14ac:dyDescent="0.15">
      <c r="B9" s="11" t="s">
        <v>13</v>
      </c>
      <c r="C9" s="15"/>
      <c r="D9" s="102">
        <v>19307</v>
      </c>
      <c r="E9" s="53">
        <f t="shared" si="0"/>
        <v>5.7024966698270084E-2</v>
      </c>
      <c r="F9" s="15"/>
      <c r="G9" s="100">
        <v>12845</v>
      </c>
      <c r="H9" s="53">
        <f t="shared" si="1"/>
        <v>4.226427262347781E-2</v>
      </c>
      <c r="I9" s="15"/>
      <c r="J9" s="100">
        <v>18622</v>
      </c>
      <c r="K9" s="53">
        <f t="shared" si="2"/>
        <v>5.599085961694579E-2</v>
      </c>
      <c r="L9" s="15"/>
      <c r="M9" s="100">
        <v>11065</v>
      </c>
      <c r="N9" s="53">
        <f t="shared" si="3"/>
        <v>3.34159798749128E-2</v>
      </c>
      <c r="O9" s="15"/>
      <c r="P9" s="100"/>
      <c r="Q9" s="53" t="str">
        <f t="shared" si="4"/>
        <v>-</v>
      </c>
    </row>
    <row r="10" spans="1:17" ht="14.1" customHeight="1" x14ac:dyDescent="0.15">
      <c r="B10" s="11" t="s">
        <v>14</v>
      </c>
      <c r="C10" s="15"/>
      <c r="D10" s="103">
        <v>21708</v>
      </c>
      <c r="E10" s="53">
        <f t="shared" si="0"/>
        <v>6.4116536856375764E-2</v>
      </c>
      <c r="F10" s="15"/>
      <c r="G10" s="102">
        <v>13646</v>
      </c>
      <c r="H10" s="53">
        <f t="shared" si="1"/>
        <v>4.4899825941609829E-2</v>
      </c>
      <c r="I10" s="15"/>
      <c r="J10" s="102">
        <v>21285</v>
      </c>
      <c r="K10" s="53">
        <f t="shared" si="2"/>
        <v>6.3997714904236447E-2</v>
      </c>
      <c r="L10" s="15"/>
      <c r="M10" s="102">
        <v>13348</v>
      </c>
      <c r="N10" s="53">
        <f t="shared" si="3"/>
        <v>4.031057382470276E-2</v>
      </c>
      <c r="O10" s="15"/>
      <c r="P10" s="52">
        <f>IF(P31,P31,IF(M31,M31,IF(J31,J31,IF(G31,G31,IF(D31,D31,0)))))</f>
        <v>0</v>
      </c>
      <c r="Q10" s="53" t="str">
        <f t="shared" si="4"/>
        <v>-</v>
      </c>
    </row>
    <row r="11" spans="1:17" ht="14.1" customHeight="1" x14ac:dyDescent="0.15">
      <c r="B11" s="11" t="s">
        <v>15</v>
      </c>
      <c r="C11" s="15"/>
      <c r="D11" s="103">
        <v>13567</v>
      </c>
      <c r="E11" s="53">
        <f t="shared" si="0"/>
        <v>4.0071358740116546E-2</v>
      </c>
      <c r="F11" s="15"/>
      <c r="G11" s="103">
        <v>8156</v>
      </c>
      <c r="H11" s="53">
        <f t="shared" si="1"/>
        <v>2.6835921176884783E-2</v>
      </c>
      <c r="I11" s="15"/>
      <c r="J11" s="103">
        <v>14219</v>
      </c>
      <c r="K11" s="53">
        <f t="shared" si="2"/>
        <v>4.2752337713100212E-2</v>
      </c>
      <c r="L11" s="15"/>
      <c r="M11" s="103">
        <v>8157</v>
      </c>
      <c r="N11" s="53">
        <f t="shared" si="3"/>
        <v>2.4633904007199611E-2</v>
      </c>
      <c r="O11" s="15"/>
      <c r="P11" s="52">
        <f>IF(P32,P32,IF(M32,M32,IF(J32,J32,IF(G32,G32,IF(D32,D32,0)))))</f>
        <v>0</v>
      </c>
      <c r="Q11" s="53" t="str">
        <f t="shared" si="4"/>
        <v>-</v>
      </c>
    </row>
    <row r="12" spans="1:17" ht="14.1" customHeight="1" x14ac:dyDescent="0.4">
      <c r="B12" s="17"/>
      <c r="C12" s="17"/>
      <c r="D12" s="17"/>
      <c r="E12" s="17"/>
      <c r="F12" s="17"/>
      <c r="G12" s="17"/>
      <c r="H12" s="17"/>
      <c r="I12" s="17"/>
      <c r="J12" s="17"/>
      <c r="K12" s="17"/>
      <c r="L12" s="17"/>
      <c r="M12" s="17"/>
      <c r="N12" s="17"/>
      <c r="O12" s="17"/>
      <c r="P12" s="17"/>
      <c r="Q12" s="17"/>
    </row>
    <row r="13" spans="1:17" ht="14.1" customHeight="1" x14ac:dyDescent="0.15">
      <c r="B13" s="11" t="s">
        <v>16</v>
      </c>
      <c r="C13" s="15"/>
      <c r="D13" s="104">
        <v>68468</v>
      </c>
      <c r="E13" s="16" t="s">
        <v>17</v>
      </c>
      <c r="F13" s="15"/>
      <c r="G13" s="104">
        <v>68468</v>
      </c>
      <c r="H13" s="16" t="str">
        <f>E13</f>
        <v>千株</v>
      </c>
      <c r="I13" s="15"/>
      <c r="J13" s="104">
        <v>68468</v>
      </c>
      <c r="K13" s="16" t="str">
        <f>H13</f>
        <v>千株</v>
      </c>
      <c r="L13" s="15"/>
      <c r="M13" s="102">
        <v>68468</v>
      </c>
      <c r="N13" s="16" t="str">
        <f>K13</f>
        <v>千株</v>
      </c>
      <c r="O13" s="15"/>
      <c r="P13" s="52">
        <f>IF(P40,P40,IF(M40,M40,IF(J40,J40,IF(G40,G40,IF(D40,D40,0)))))</f>
        <v>68468</v>
      </c>
      <c r="Q13" s="16" t="str">
        <f>N13</f>
        <v>千株</v>
      </c>
    </row>
    <row r="14" spans="1:17" ht="14.1" customHeight="1" x14ac:dyDescent="0.4">
      <c r="B14" s="11" t="s">
        <v>18</v>
      </c>
      <c r="C14" s="15"/>
      <c r="D14" s="54">
        <f>IF(D13,D10*1000*0.7/D13,0)</f>
        <v>221.93725536016822</v>
      </c>
      <c r="E14" s="55">
        <f>IF(D14,D26/D14,0)</f>
        <v>0</v>
      </c>
      <c r="F14" s="15"/>
      <c r="G14" s="54">
        <f>IF(G13,G10*1000*0.7/G13,0)</f>
        <v>139.51334930186366</v>
      </c>
      <c r="H14" s="55">
        <f>IF(G14,G26/G14,0)</f>
        <v>0</v>
      </c>
      <c r="I14" s="15"/>
      <c r="J14" s="54">
        <f>IF(J13,J10*1000*0.7/J13,0)</f>
        <v>217.61260734941868</v>
      </c>
      <c r="K14" s="55">
        <f>IF(J14,J26/J14,0)</f>
        <v>0</v>
      </c>
      <c r="L14" s="15"/>
      <c r="M14" s="54">
        <f>IF(M13,M10*1000*0.7/M13,0)</f>
        <v>136.46667056143016</v>
      </c>
      <c r="N14" s="55">
        <f>IF(M14,M26/M14,0)</f>
        <v>0</v>
      </c>
      <c r="O14" s="15"/>
      <c r="P14" s="54">
        <f>IF(P13,P10*1000*0.7/P13,0)</f>
        <v>0</v>
      </c>
      <c r="Q14" s="55">
        <f>IF(P14,P26/P14,0)</f>
        <v>0</v>
      </c>
    </row>
    <row r="15" spans="1:17" ht="14.1" customHeight="1" x14ac:dyDescent="0.4">
      <c r="B15" s="17"/>
      <c r="C15" s="17"/>
      <c r="D15" s="17"/>
      <c r="E15" s="17"/>
      <c r="F15" s="17"/>
      <c r="G15" s="17"/>
      <c r="H15" s="17"/>
      <c r="I15" s="17"/>
      <c r="J15" s="17"/>
      <c r="K15" s="17"/>
      <c r="L15" s="17"/>
      <c r="M15" s="17"/>
      <c r="N15" s="17"/>
      <c r="O15" s="17"/>
      <c r="P15" s="17"/>
      <c r="Q15" s="17"/>
    </row>
    <row r="16" spans="1:17" ht="14.1" customHeight="1" x14ac:dyDescent="0.15">
      <c r="B16" s="11"/>
      <c r="C16" s="19" t="s">
        <v>19</v>
      </c>
      <c r="D16" s="20" t="s">
        <v>20</v>
      </c>
      <c r="E16" s="14" t="s">
        <v>21</v>
      </c>
      <c r="F16" s="19" t="s">
        <v>19</v>
      </c>
      <c r="G16" s="20" t="s">
        <v>20</v>
      </c>
      <c r="H16" s="14" t="s">
        <v>21</v>
      </c>
      <c r="I16" s="19" t="s">
        <v>19</v>
      </c>
      <c r="J16" s="20" t="s">
        <v>20</v>
      </c>
      <c r="K16" s="14" t="s">
        <v>21</v>
      </c>
      <c r="L16" s="19" t="s">
        <v>19</v>
      </c>
      <c r="M16" s="20" t="s">
        <v>20</v>
      </c>
      <c r="N16" s="14" t="s">
        <v>21</v>
      </c>
      <c r="O16" s="19" t="s">
        <v>19</v>
      </c>
      <c r="P16" s="20" t="s">
        <v>20</v>
      </c>
      <c r="Q16" s="14" t="s">
        <v>21</v>
      </c>
    </row>
    <row r="17" spans="1:17" ht="14.1" customHeight="1" x14ac:dyDescent="0.15">
      <c r="B17" s="11" t="s">
        <v>22</v>
      </c>
      <c r="C17" s="105">
        <v>356745</v>
      </c>
      <c r="D17" s="106">
        <v>241177</v>
      </c>
      <c r="E17" s="57">
        <f>C17-D17</f>
        <v>115568</v>
      </c>
      <c r="F17" s="106">
        <v>369056</v>
      </c>
      <c r="G17" s="106">
        <v>244760</v>
      </c>
      <c r="H17" s="57">
        <f>F17-G17</f>
        <v>124296</v>
      </c>
      <c r="I17" s="106">
        <v>395743</v>
      </c>
      <c r="J17" s="106">
        <v>263116</v>
      </c>
      <c r="K17" s="57">
        <f>I17-J17</f>
        <v>132627</v>
      </c>
      <c r="L17" s="106">
        <v>377771</v>
      </c>
      <c r="M17" s="106">
        <v>272598</v>
      </c>
      <c r="N17" s="57">
        <f>L17-M17</f>
        <v>105173</v>
      </c>
      <c r="O17" s="57" t="e">
        <f>IF(O44,O44,IF(L44,L44,IF(I44,I44,IF(F44,F44,IF(C44,C44,0)))))</f>
        <v>#VALUE!</v>
      </c>
      <c r="P17" s="57" t="e">
        <f>IF(P44,P44,IF(M44,M44,IF(J44,J44,IF(G44,G44,IF(D44,D44,0)))))</f>
        <v>#VALUE!</v>
      </c>
      <c r="Q17" s="57" t="e">
        <f>O17-P17</f>
        <v>#VALUE!</v>
      </c>
    </row>
    <row r="18" spans="1:17" ht="14.1" customHeight="1" x14ac:dyDescent="0.4">
      <c r="B18" s="11" t="s">
        <v>23</v>
      </c>
      <c r="C18" s="58">
        <f>IF(C17,D17/C17,0)</f>
        <v>0.67604871827215518</v>
      </c>
      <c r="D18" s="52">
        <f>IF(D13,D17/D13*1000,0)</f>
        <v>3522.4776537944736</v>
      </c>
      <c r="E18" s="55">
        <f>IF(D18,D26/D18,0)</f>
        <v>0</v>
      </c>
      <c r="F18" s="58">
        <f>IF(F17,G17/F17,0)</f>
        <v>0.66320558397641549</v>
      </c>
      <c r="G18" s="52">
        <f>IF(G13,G17/G13*1000,0)</f>
        <v>3574.8086697435301</v>
      </c>
      <c r="H18" s="55">
        <f>IF(G18,G26/G18,0)</f>
        <v>0</v>
      </c>
      <c r="I18" s="58">
        <f>IF(I17,J17/I17,0)</f>
        <v>0.66486583464521165</v>
      </c>
      <c r="J18" s="52">
        <f>IF(J13,J17/J13*1000,0)</f>
        <v>3842.9047146112052</v>
      </c>
      <c r="K18" s="55">
        <f>IF(J18,J26/J18,0)</f>
        <v>0</v>
      </c>
      <c r="L18" s="58">
        <f>IF(L17,M17/L17,0)</f>
        <v>0.72159588745562786</v>
      </c>
      <c r="M18" s="52">
        <f>IF(M13,M17/M13*1000,0)</f>
        <v>3981.3927674241982</v>
      </c>
      <c r="N18" s="55">
        <f>IF(M18,M26/M18,0)</f>
        <v>0</v>
      </c>
      <c r="O18" s="58" t="e">
        <f>IF(O17,P17/O17,0)</f>
        <v>#VALUE!</v>
      </c>
      <c r="P18" s="52" t="e">
        <f>IF(P13,P17/P13*1000,0)</f>
        <v>#VALUE!</v>
      </c>
      <c r="Q18" s="55" t="e">
        <f>IF(P18,P26/P18,0)</f>
        <v>#VALUE!</v>
      </c>
    </row>
    <row r="19" spans="1:17" ht="14.1" customHeight="1" x14ac:dyDescent="0.4">
      <c r="B19" s="17" t="s">
        <v>24</v>
      </c>
      <c r="C19" s="88">
        <f>IF(D17*C17&gt;0,IF((1/(D17/C17+0.33))&lt;1,1,IF((1/(D17/C17+0.33))&gt;1.5,1.5,1/(D17/C17+0.33))),0)</f>
        <v>1</v>
      </c>
      <c r="D19" s="17"/>
      <c r="E19" s="17"/>
      <c r="F19" s="88">
        <f>IF(G17*F17&gt;0,IF((1/(G17/F17+0.33))&lt;1,1,IF((1/(G17/F17+0.33))&gt;1.5,1.5,1/(G17/F17+0.33))),0)</f>
        <v>1.0068408959164146</v>
      </c>
      <c r="G19" s="17"/>
      <c r="H19" s="17"/>
      <c r="I19" s="88">
        <f>IF(J17*I17&gt;0,IF((1/(J17/I17+0.33))&lt;1,1,IF((1/(J17/I17+0.33))&gt;1.5,1.5,1/(J17/I17+0.33))),0)</f>
        <v>1.0051606610419175</v>
      </c>
      <c r="J19" s="17"/>
      <c r="K19" s="17"/>
      <c r="L19" s="88">
        <f>IF(M17*L17&gt;0,IF((1/(M17/L17+0.33))&lt;1,1,IF((1/(M17/L17+0.33))&gt;1.5,1.5,1/(M17/L17+0.33))),0)</f>
        <v>1</v>
      </c>
      <c r="M19" s="17"/>
      <c r="N19" s="17"/>
      <c r="O19" s="88" t="e">
        <f>IF(P17*O17&gt;0,IF((1/(P17/O17+0.33))&lt;1,1,IF((1/(P17/O17+0.33))&gt;1.5,1.5,1/(P17/O17+0.33))),0)</f>
        <v>#VALUE!</v>
      </c>
      <c r="P19" s="17"/>
      <c r="Q19" s="17"/>
    </row>
    <row r="20" spans="1:17" ht="14.1" customHeight="1" x14ac:dyDescent="0.15">
      <c r="B20" s="11"/>
      <c r="C20" s="19" t="s">
        <v>25</v>
      </c>
      <c r="D20" s="20" t="s">
        <v>26</v>
      </c>
      <c r="E20" s="14" t="s">
        <v>27</v>
      </c>
      <c r="F20" s="19" t="s">
        <v>25</v>
      </c>
      <c r="G20" s="20" t="s">
        <v>26</v>
      </c>
      <c r="H20" s="14" t="s">
        <v>27</v>
      </c>
      <c r="I20" s="19" t="s">
        <v>25</v>
      </c>
      <c r="J20" s="20" t="s">
        <v>26</v>
      </c>
      <c r="K20" s="14" t="s">
        <v>27</v>
      </c>
      <c r="L20" s="19" t="s">
        <v>25</v>
      </c>
      <c r="M20" s="20" t="s">
        <v>26</v>
      </c>
      <c r="N20" s="14" t="s">
        <v>27</v>
      </c>
      <c r="O20" s="19" t="s">
        <v>25</v>
      </c>
      <c r="P20" s="20" t="s">
        <v>26</v>
      </c>
      <c r="Q20" s="14" t="s">
        <v>27</v>
      </c>
    </row>
    <row r="21" spans="1:17" ht="14.1" customHeight="1" x14ac:dyDescent="0.15">
      <c r="B21" s="11" t="s">
        <v>28</v>
      </c>
      <c r="C21" s="106">
        <v>28651</v>
      </c>
      <c r="D21" s="106">
        <v>-29194</v>
      </c>
      <c r="E21" s="107">
        <v>-4859</v>
      </c>
      <c r="F21" s="106">
        <v>16802</v>
      </c>
      <c r="G21" s="106">
        <v>-20140</v>
      </c>
      <c r="H21" s="107">
        <v>-10284</v>
      </c>
      <c r="I21" s="106">
        <v>28063</v>
      </c>
      <c r="J21" s="106">
        <v>-8613</v>
      </c>
      <c r="K21" s="107">
        <v>-6179</v>
      </c>
      <c r="L21" s="106">
        <v>1812</v>
      </c>
      <c r="M21" s="106">
        <v>-10255</v>
      </c>
      <c r="N21" s="107">
        <v>-39246</v>
      </c>
      <c r="O21" s="57" t="e">
        <f>IF(O48,O48,IF(L48,L48,IF(I48,I48,IF(F48,F48,IF(C48,C48,0)))))</f>
        <v>#VALUE!</v>
      </c>
      <c r="P21" s="57" t="e">
        <f>IF(P48,P48,IF(M48,M48,IF(J48,J48,IF(G48,G48,IF(D48,D48,0)))))</f>
        <v>#VALUE!</v>
      </c>
      <c r="Q21" s="57" t="e">
        <f>IF(Q48,Q48,IF(N48,N48,IF(K48,K48,IF(H48,H48,IF(E48,E48,0)))))</f>
        <v>#VALUE!</v>
      </c>
    </row>
    <row r="22" spans="1:17" ht="14.1" customHeight="1" x14ac:dyDescent="0.15">
      <c r="B22" s="11" t="s">
        <v>29</v>
      </c>
      <c r="C22" s="59"/>
      <c r="D22" s="108">
        <v>89463</v>
      </c>
      <c r="E22" s="57">
        <f>C21+D21</f>
        <v>-543</v>
      </c>
      <c r="F22" s="59"/>
      <c r="G22" s="108">
        <v>79917</v>
      </c>
      <c r="H22" s="57">
        <f>F21+G21</f>
        <v>-3338</v>
      </c>
      <c r="I22" s="59"/>
      <c r="J22" s="108">
        <v>94691</v>
      </c>
      <c r="K22" s="57">
        <f>I21+J21</f>
        <v>19450</v>
      </c>
      <c r="L22" s="59"/>
      <c r="M22" s="108">
        <v>56610</v>
      </c>
      <c r="N22" s="57">
        <f>L21+M21</f>
        <v>-8443</v>
      </c>
      <c r="O22" s="59"/>
      <c r="P22" s="52" t="e">
        <f>IF(P49,P49,IF(M49,M49,IF(J49,J49,IF(G49,G49,IF(D49,D49,0)))))</f>
        <v>#VALUE!</v>
      </c>
      <c r="Q22" s="57" t="e">
        <f>O21+P21</f>
        <v>#VALUE!</v>
      </c>
    </row>
    <row r="23" spans="1:17" ht="14.1" customHeight="1" x14ac:dyDescent="0.4">
      <c r="B23" s="17"/>
      <c r="C23" s="17"/>
      <c r="D23" s="17"/>
      <c r="E23" s="17"/>
      <c r="F23" s="17"/>
      <c r="G23" s="17"/>
      <c r="H23" s="17"/>
      <c r="I23" s="17"/>
      <c r="J23" s="17"/>
      <c r="K23" s="17"/>
      <c r="L23" s="17"/>
      <c r="M23" s="17"/>
      <c r="N23" s="17"/>
      <c r="O23" s="17"/>
      <c r="P23" s="17"/>
      <c r="Q23" s="17"/>
    </row>
    <row r="24" spans="1:17" ht="14.1" customHeight="1" x14ac:dyDescent="0.15">
      <c r="B24" s="11"/>
      <c r="C24" s="19" t="s">
        <v>30</v>
      </c>
      <c r="D24" s="20" t="s">
        <v>31</v>
      </c>
      <c r="E24" s="14" t="s">
        <v>32</v>
      </c>
      <c r="F24" s="19" t="s">
        <v>30</v>
      </c>
      <c r="G24" s="20" t="s">
        <v>31</v>
      </c>
      <c r="H24" s="14" t="s">
        <v>32</v>
      </c>
      <c r="I24" s="19" t="s">
        <v>30</v>
      </c>
      <c r="J24" s="20" t="s">
        <v>31</v>
      </c>
      <c r="K24" s="14" t="s">
        <v>32</v>
      </c>
      <c r="L24" s="19" t="s">
        <v>30</v>
      </c>
      <c r="M24" s="20" t="s">
        <v>31</v>
      </c>
      <c r="N24" s="14" t="s">
        <v>32</v>
      </c>
      <c r="O24" s="19" t="s">
        <v>30</v>
      </c>
      <c r="P24" s="20" t="s">
        <v>31</v>
      </c>
      <c r="Q24" s="14" t="s">
        <v>32</v>
      </c>
    </row>
    <row r="25" spans="1:17" ht="14.1" customHeight="1" x14ac:dyDescent="0.4">
      <c r="B25" s="11" t="s">
        <v>32</v>
      </c>
      <c r="C25" s="57">
        <f>D18*IF(C18&gt;=0.8,0.8,IF(C18&gt;=0.67,0.75,IF(C18&gt;=0.5,0.7,IF(C18&gt;=0.33,0.65,IF(C18&gt;=0.1,0.6,0.5)))))</f>
        <v>2641.8582403458549</v>
      </c>
      <c r="D25" s="57">
        <f>IF(C19&gt;0,IF(D10&gt;0,IF(D14*C17,D14*(D10*0.7/C17*150),0),0)*C19,0)</f>
        <v>1418.0169690749576</v>
      </c>
      <c r="E25" s="57">
        <f>C25+D25</f>
        <v>4059.8752094208126</v>
      </c>
      <c r="F25" s="57">
        <f>G18*IF(F18&gt;=0.8,0.8,IF(F18&gt;=0.67,0.75,IF(F18&gt;=0.5,0.7,IF(F18&gt;=0.33,0.65,IF(F18&gt;=0.1,0.6,0.5)))))</f>
        <v>2502.3660688204709</v>
      </c>
      <c r="G25" s="57">
        <f>IF(F19&gt;0,IF(G10&gt;0,IF(G14*F17,G14*(G10*0.7/F17*150),0),0)*F19,0)</f>
        <v>545.35463434520113</v>
      </c>
      <c r="H25" s="57">
        <f>F25+G25</f>
        <v>3047.7207031656721</v>
      </c>
      <c r="I25" s="57">
        <f>J18*IF(I18&gt;=0.8,0.8,IF(I18&gt;=0.67,0.75,IF(I18&gt;=0.5,0.7,IF(I18&gt;=0.33,0.65,IF(I18&gt;=0.1,0.6,0.5)))))</f>
        <v>2690.0333002278435</v>
      </c>
      <c r="J25" s="57">
        <f>IF(I19&gt;0,IF(J10&gt;0,IF(J14*I17,J14*(J10*0.7/I17*150),0),0)*I19,0)</f>
        <v>1235.2909158624611</v>
      </c>
      <c r="K25" s="57">
        <f>I25+J25</f>
        <v>3925.3242160903046</v>
      </c>
      <c r="L25" s="57">
        <f>M18*IF(L18&gt;=0.8,0.8,IF(L18&gt;=0.67,0.75,IF(L18&gt;=0.5,0.7,IF(L18&gt;=0.33,0.65,IF(L18&gt;=0.1,0.6,0.5)))))</f>
        <v>2986.0445755681485</v>
      </c>
      <c r="M25" s="57">
        <f>IF(L19&gt;0,IF(M10&gt;0,IF(M14*L17,M14*(M10*0.7/L17*150),0),0)*L19,0)</f>
        <v>506.29481209162907</v>
      </c>
      <c r="N25" s="57">
        <f>L25+M25</f>
        <v>3492.3393876597775</v>
      </c>
      <c r="O25" s="57" t="e">
        <f>P18*IF(O18&gt;=0.8,0.8,IF(O18&gt;=0.67,0.75,IF(O18&gt;=0.5,0.7,IF(O18&gt;=0.33,0.65,IF(O18&gt;=0.1,0.6,0.5)))))</f>
        <v>#VALUE!</v>
      </c>
      <c r="P25" s="57" t="e">
        <f>IF(O19&gt;0,IF(P10&gt;0,IF(P14*O17,P14*(P10*0.7/O17*150),0),0)*O19,0)</f>
        <v>#VALUE!</v>
      </c>
      <c r="Q25" s="57" t="e">
        <f>O25+P25</f>
        <v>#VALUE!</v>
      </c>
    </row>
    <row r="26" spans="1:17" ht="14.1" customHeight="1" x14ac:dyDescent="0.15">
      <c r="B26" s="11" t="s">
        <v>33</v>
      </c>
      <c r="C26" s="21">
        <f>DATE(LEFT(C4,4),LEFT(D4,LEN(D4)-2)+1,0)</f>
        <v>44561</v>
      </c>
      <c r="D26" s="109"/>
      <c r="E26" s="61">
        <f>IF(E25,D26/E25,0)</f>
        <v>0</v>
      </c>
      <c r="F26" s="21">
        <f>DATE(LEFT(F4,4),LEFT(G4,LEN(G4)-2)+1,0)</f>
        <v>44926</v>
      </c>
      <c r="G26" s="109"/>
      <c r="H26" s="61">
        <f>IF(H25,G26/H25,0)</f>
        <v>0</v>
      </c>
      <c r="I26" s="21">
        <f>DATE(LEFT(I4,4),LEFT(J4,LEN(J4)-2)+1,0)</f>
        <v>45291</v>
      </c>
      <c r="J26" s="109"/>
      <c r="K26" s="61">
        <f>IF(K25,J26/K25,0)</f>
        <v>0</v>
      </c>
      <c r="L26" s="21">
        <f>DATE(LEFT(L4,4),LEFT(M4,LEN(M4)-2)+1,0)</f>
        <v>45657</v>
      </c>
      <c r="M26" s="109"/>
      <c r="N26" s="61">
        <f>IF(N25,M26/N25,0)</f>
        <v>0</v>
      </c>
      <c r="O26" s="21">
        <f ca="1">IF(P53,O53,TODAY())</f>
        <v>46080</v>
      </c>
      <c r="P26" s="52">
        <f>IF(P53,P53,IF(M53,M53,IF(J53,J53,IF(G53,G53,IF(D53,D53,0)))))</f>
        <v>0</v>
      </c>
      <c r="Q26" s="61" t="e">
        <f>IF(Q25,P26/Q25,0)</f>
        <v>#VALUE!</v>
      </c>
    </row>
    <row r="27" spans="1:17" ht="14.1" customHeight="1" x14ac:dyDescent="0.4">
      <c r="B27" s="22" t="s">
        <v>34</v>
      </c>
      <c r="C27" s="90">
        <f>C25+(D25*2)</f>
        <v>5477.8921784957702</v>
      </c>
      <c r="D27" s="22"/>
      <c r="E27" s="22"/>
      <c r="F27" s="90">
        <f>F25+(G25*2)</f>
        <v>3593.0753375108734</v>
      </c>
      <c r="G27" s="22"/>
      <c r="H27" s="22"/>
      <c r="I27" s="90">
        <f>I25+(J25*2)</f>
        <v>5160.6151319527653</v>
      </c>
      <c r="J27" s="22"/>
      <c r="K27" s="22"/>
      <c r="L27" s="90">
        <f>L25+(M25*2)</f>
        <v>3998.6341997514064</v>
      </c>
      <c r="M27" s="22"/>
      <c r="N27" s="22"/>
      <c r="O27" s="90" t="e">
        <f>O25+(P25*2)</f>
        <v>#VALUE!</v>
      </c>
      <c r="P27" s="22"/>
      <c r="Q27" s="22"/>
    </row>
    <row r="28" spans="1:17" ht="14.1" customHeight="1" x14ac:dyDescent="0.4">
      <c r="A28" s="1" t="s">
        <v>35</v>
      </c>
      <c r="B28" s="23"/>
      <c r="C28" s="23"/>
      <c r="D28" s="23"/>
      <c r="E28" s="23"/>
      <c r="F28" s="23"/>
      <c r="G28" s="23"/>
      <c r="H28" s="23"/>
      <c r="I28" s="23"/>
      <c r="J28" s="23"/>
      <c r="K28" s="23"/>
      <c r="L28" s="23"/>
      <c r="M28" s="23"/>
      <c r="N28" s="23"/>
      <c r="O28" s="23"/>
      <c r="P28" s="23"/>
      <c r="Q28" s="23"/>
    </row>
    <row r="29" spans="1:17" ht="14.1" customHeight="1" x14ac:dyDescent="0.15">
      <c r="B29" s="11"/>
      <c r="C29" s="24" t="s">
        <v>36</v>
      </c>
      <c r="D29" s="25"/>
      <c r="E29" s="26" t="s">
        <v>37</v>
      </c>
      <c r="F29" s="27" t="s">
        <v>38</v>
      </c>
      <c r="G29" s="28" t="str">
        <f>IF(G30&gt;0,IF(G32&gt;D32,"上方修正",IF(G32&lt;D32,"下方修正","据え置き")),"")</f>
        <v/>
      </c>
      <c r="H29" s="29" t="s">
        <v>37</v>
      </c>
      <c r="I29" s="30" t="s">
        <v>39</v>
      </c>
      <c r="J29" s="31" t="str">
        <f>IF(J30&gt;0,IF(J32&gt;G32,"上方修正",IF(J32&lt;G32,"下方修正","据え置き")),"")</f>
        <v/>
      </c>
      <c r="K29" s="32" t="s">
        <v>37</v>
      </c>
      <c r="L29" s="33" t="s">
        <v>40</v>
      </c>
      <c r="M29" s="34" t="str">
        <f>IF(M30&gt;0,IF(M32&gt;J32,"上方修正",IF(M32&lt;J32,"下方修正","据え置き")),"")</f>
        <v/>
      </c>
      <c r="N29" s="35" t="s">
        <v>37</v>
      </c>
      <c r="O29" s="36" t="s">
        <v>41</v>
      </c>
      <c r="P29" s="37" t="str">
        <f>IF(P30&gt;0,IF(P32&gt;M32,"上方修正",IF(P32&lt;M32,"下方修正","据え置き")),"")</f>
        <v/>
      </c>
      <c r="Q29" s="38" t="s">
        <v>37</v>
      </c>
    </row>
    <row r="30" spans="1:17" ht="14.1" customHeight="1" x14ac:dyDescent="0.15">
      <c r="B30" s="11" t="s">
        <v>8</v>
      </c>
      <c r="C30" s="62"/>
      <c r="D30" s="103"/>
      <c r="E30" s="53">
        <f>IF($M5,D30/$M5,"-")</f>
        <v>0</v>
      </c>
      <c r="F30" s="110"/>
      <c r="G30" s="103"/>
      <c r="H30" s="53">
        <f>IF($M5,G30/$M5,"-")</f>
        <v>0</v>
      </c>
      <c r="I30" s="110"/>
      <c r="J30" s="103"/>
      <c r="K30" s="53">
        <f>IF($M5,J30/$M5,"-")</f>
        <v>0</v>
      </c>
      <c r="L30" s="59"/>
      <c r="M30" s="101"/>
      <c r="N30" s="53">
        <f>IF($M5,M30/$M5,"-")</f>
        <v>0</v>
      </c>
      <c r="O30" s="59"/>
      <c r="P30" s="103"/>
      <c r="Q30" s="61">
        <f>IF($M5,P30/$M5,"-")</f>
        <v>0</v>
      </c>
    </row>
    <row r="31" spans="1:17" ht="14.1" customHeight="1" x14ac:dyDescent="0.15">
      <c r="B31" s="11" t="s">
        <v>14</v>
      </c>
      <c r="C31" s="62"/>
      <c r="D31" s="102"/>
      <c r="E31" s="53">
        <f>IF($M10&gt;0,D31/$M10,"-")</f>
        <v>0</v>
      </c>
      <c r="F31" s="111"/>
      <c r="G31" s="102"/>
      <c r="H31" s="53">
        <f>IF($M10&gt;0,G31/$M10,"-")</f>
        <v>0</v>
      </c>
      <c r="I31" s="111"/>
      <c r="J31" s="102"/>
      <c r="K31" s="53">
        <f>IF($M10&gt;0,J31/$M10,"-")</f>
        <v>0</v>
      </c>
      <c r="L31" s="59"/>
      <c r="M31" s="102"/>
      <c r="N31" s="53">
        <f>IF($M10&gt;0,M31/$M10,"-")</f>
        <v>0</v>
      </c>
      <c r="O31" s="59"/>
      <c r="P31" s="102"/>
      <c r="Q31" s="61">
        <f>IF($M10&gt;0,P31/$M10,"-")</f>
        <v>0</v>
      </c>
    </row>
    <row r="32" spans="1:17" ht="14.1" customHeight="1" x14ac:dyDescent="0.15">
      <c r="B32" s="11" t="s">
        <v>15</v>
      </c>
      <c r="C32" s="62"/>
      <c r="D32" s="101"/>
      <c r="E32" s="53">
        <f>IF($M11&gt;0,D32/$M11,"-")</f>
        <v>0</v>
      </c>
      <c r="F32" s="112"/>
      <c r="G32" s="101"/>
      <c r="H32" s="53">
        <f>IF($M11&gt;0,G32/$M11,"-")</f>
        <v>0</v>
      </c>
      <c r="I32" s="112"/>
      <c r="J32" s="101"/>
      <c r="K32" s="53">
        <f>IF($M11&gt;0,J32/$M11,"-")</f>
        <v>0</v>
      </c>
      <c r="L32" s="59"/>
      <c r="M32" s="100"/>
      <c r="N32" s="53">
        <f>IF($M11&gt;0,M32/$M11,"-")</f>
        <v>0</v>
      </c>
      <c r="O32" s="59"/>
      <c r="P32" s="101"/>
      <c r="Q32" s="61">
        <f>IF($M11&gt;0,P32/$M11,"-")</f>
        <v>0</v>
      </c>
    </row>
    <row r="33" spans="1:17" ht="14.1" customHeight="1" x14ac:dyDescent="0.4">
      <c r="B33" s="22"/>
      <c r="C33" s="22"/>
      <c r="D33" s="22"/>
      <c r="E33" s="22"/>
      <c r="F33" s="22"/>
      <c r="G33" s="22"/>
      <c r="H33" s="22"/>
      <c r="I33" s="22"/>
      <c r="J33" s="22"/>
      <c r="K33" s="22"/>
      <c r="L33" s="22"/>
      <c r="M33" s="22"/>
      <c r="N33" s="22"/>
      <c r="O33" s="22"/>
      <c r="P33" s="22"/>
      <c r="Q33" s="22"/>
    </row>
    <row r="34" spans="1:17" ht="14.1" customHeight="1" x14ac:dyDescent="0.4">
      <c r="A34" s="1" t="s">
        <v>42</v>
      </c>
      <c r="B34" s="23"/>
      <c r="C34" s="23"/>
      <c r="D34" s="23"/>
      <c r="E34" s="23"/>
      <c r="F34" s="23"/>
      <c r="G34" s="23"/>
      <c r="H34" s="23"/>
      <c r="I34" s="23"/>
      <c r="J34" s="23"/>
      <c r="K34" s="23"/>
      <c r="L34" s="23"/>
      <c r="M34" s="23"/>
      <c r="N34" s="23"/>
      <c r="O34" s="23"/>
      <c r="P34" s="23"/>
      <c r="Q34" s="23"/>
    </row>
    <row r="35" spans="1:17" ht="14.1" customHeight="1" x14ac:dyDescent="0.15">
      <c r="B35" s="11"/>
      <c r="C35" s="24" t="s">
        <v>36</v>
      </c>
      <c r="D35" s="25"/>
      <c r="E35" s="26" t="s">
        <v>37</v>
      </c>
      <c r="F35" s="27" t="s">
        <v>38</v>
      </c>
      <c r="G35" s="28"/>
      <c r="H35" s="29" t="s">
        <v>43</v>
      </c>
      <c r="I35" s="30" t="s">
        <v>39</v>
      </c>
      <c r="J35" s="31"/>
      <c r="K35" s="32" t="s">
        <v>43</v>
      </c>
      <c r="L35" s="33" t="s">
        <v>40</v>
      </c>
      <c r="M35" s="34"/>
      <c r="N35" s="35" t="s">
        <v>43</v>
      </c>
      <c r="O35" s="36" t="s">
        <v>44</v>
      </c>
      <c r="P35" s="37"/>
      <c r="Q35" s="38" t="s">
        <v>43</v>
      </c>
    </row>
    <row r="36" spans="1:17" ht="14.1" customHeight="1" x14ac:dyDescent="0.15">
      <c r="B36" s="11" t="s">
        <v>8</v>
      </c>
      <c r="C36" s="59"/>
      <c r="D36" s="63"/>
      <c r="E36" s="60"/>
      <c r="F36" s="58">
        <f>IF(F30,G36/F30,0)</f>
        <v>0</v>
      </c>
      <c r="G36" s="100"/>
      <c r="H36" s="61">
        <f>IF(G30,G36/G30,0)</f>
        <v>0</v>
      </c>
      <c r="I36" s="58">
        <f>IF(I30,J36/I30,0)</f>
        <v>0</v>
      </c>
      <c r="J36" s="100" t="s">
        <v>45</v>
      </c>
      <c r="K36" s="61">
        <f>IF(J30,J36/J30,0)</f>
        <v>0</v>
      </c>
      <c r="L36" s="59"/>
      <c r="M36" s="100"/>
      <c r="N36" s="61">
        <f>IF(M30,M36/M30,0)</f>
        <v>0</v>
      </c>
      <c r="O36" s="59"/>
      <c r="P36" s="51"/>
      <c r="Q36" s="61">
        <f>IF(P30,P36/P30,0)</f>
        <v>0</v>
      </c>
    </row>
    <row r="37" spans="1:17" ht="14.1" customHeight="1" x14ac:dyDescent="0.15">
      <c r="B37" s="11" t="s">
        <v>14</v>
      </c>
      <c r="C37" s="59"/>
      <c r="D37" s="63"/>
      <c r="E37" s="60"/>
      <c r="F37" s="58">
        <f>IF(F31,G37/F31,0)</f>
        <v>0</v>
      </c>
      <c r="G37" s="102"/>
      <c r="H37" s="61">
        <f>IF(G31,G37/G31,0)</f>
        <v>0</v>
      </c>
      <c r="I37" s="58">
        <f>IF(I31,J37/I31,0)</f>
        <v>0</v>
      </c>
      <c r="J37" s="102" t="s">
        <v>45</v>
      </c>
      <c r="K37" s="61">
        <f>IF(J31,J37/J31,0)</f>
        <v>0</v>
      </c>
      <c r="L37" s="59"/>
      <c r="M37" s="102"/>
      <c r="N37" s="61">
        <f>IF(M31,M37/M31,0)</f>
        <v>0</v>
      </c>
      <c r="O37" s="59"/>
      <c r="P37" s="51"/>
      <c r="Q37" s="61">
        <f>IF(P31,P37/P31,0)</f>
        <v>0</v>
      </c>
    </row>
    <row r="38" spans="1:17" ht="14.1" customHeight="1" x14ac:dyDescent="0.15">
      <c r="B38" s="11" t="s">
        <v>15</v>
      </c>
      <c r="C38" s="59"/>
      <c r="D38" s="63"/>
      <c r="E38" s="60"/>
      <c r="F38" s="58">
        <f>IF(F32,G38/F32,0)</f>
        <v>0</v>
      </c>
      <c r="G38" s="103"/>
      <c r="H38" s="61">
        <f>IF(G32,G38/G32,0)</f>
        <v>0</v>
      </c>
      <c r="I38" s="58">
        <f>IF(I32,J38/I32,0)</f>
        <v>0</v>
      </c>
      <c r="J38" s="103" t="s">
        <v>45</v>
      </c>
      <c r="K38" s="61">
        <f>IF(J32,J38/J32,0)</f>
        <v>0</v>
      </c>
      <c r="L38" s="59"/>
      <c r="M38" s="103"/>
      <c r="N38" s="61">
        <f>IF(M32,M38/M32,0)</f>
        <v>0</v>
      </c>
      <c r="O38" s="59"/>
      <c r="P38" s="51"/>
      <c r="Q38" s="61">
        <f>IF(P32,P38/P32,0)</f>
        <v>0</v>
      </c>
    </row>
    <row r="39" spans="1:17" ht="14.1" customHeight="1" x14ac:dyDescent="0.4">
      <c r="B39" s="17"/>
      <c r="C39" s="17"/>
      <c r="D39" s="17"/>
      <c r="E39" s="17"/>
      <c r="F39" s="17"/>
      <c r="G39" s="17"/>
      <c r="H39" s="17"/>
      <c r="I39" s="17"/>
      <c r="J39" s="17"/>
      <c r="K39" s="17"/>
      <c r="L39" s="17"/>
      <c r="M39" s="17"/>
      <c r="N39" s="17"/>
      <c r="O39" s="17"/>
      <c r="P39" s="17"/>
      <c r="Q39" s="17"/>
    </row>
    <row r="40" spans="1:17" ht="14.1" customHeight="1" x14ac:dyDescent="0.15">
      <c r="B40" s="11" t="s">
        <v>16</v>
      </c>
      <c r="C40" s="59"/>
      <c r="D40" s="52">
        <f>M13</f>
        <v>68468</v>
      </c>
      <c r="E40" s="39" t="s">
        <v>17</v>
      </c>
      <c r="F40" s="59"/>
      <c r="G40" s="104"/>
      <c r="H40" s="39"/>
      <c r="I40" s="59"/>
      <c r="J40" s="104">
        <v>68468</v>
      </c>
      <c r="K40" s="39"/>
      <c r="L40" s="59"/>
      <c r="M40" s="102"/>
      <c r="N40" s="39"/>
      <c r="O40" s="59"/>
      <c r="P40" s="51"/>
      <c r="Q40" s="39">
        <f>N40</f>
        <v>0</v>
      </c>
    </row>
    <row r="41" spans="1:17" ht="14.1" customHeight="1" x14ac:dyDescent="0.4">
      <c r="B41" s="11" t="s">
        <v>18</v>
      </c>
      <c r="C41" s="59"/>
      <c r="D41" s="54">
        <f>IF(D40,D31*1000*0.7/D40,0)</f>
        <v>0</v>
      </c>
      <c r="E41" s="55">
        <f>IF(D41,D53/D41,0)</f>
        <v>0</v>
      </c>
      <c r="F41" s="59"/>
      <c r="G41" s="54">
        <f>IF(G40,G31*1000*0.7/G40,0)</f>
        <v>0</v>
      </c>
      <c r="H41" s="55">
        <f>IF(G41,G53/G41,0)</f>
        <v>0</v>
      </c>
      <c r="I41" s="59"/>
      <c r="J41" s="54">
        <f>IF(J40,J31*1000*0.7/J40,0)</f>
        <v>0</v>
      </c>
      <c r="K41" s="18">
        <f>IF(J41,J53/J41,0)</f>
        <v>0</v>
      </c>
      <c r="L41" s="59"/>
      <c r="M41" s="54">
        <f>IF(M40,M31*1000*0.7/M40,0)</f>
        <v>0</v>
      </c>
      <c r="N41" s="55">
        <f>IF(M41,M53/M41,0)</f>
        <v>0</v>
      </c>
      <c r="O41" s="59"/>
      <c r="P41" s="54">
        <f>IF(P40,P31*1000*0.7/P40,0)</f>
        <v>0</v>
      </c>
      <c r="Q41" s="55">
        <f>IF(P41,P53/P41,0)</f>
        <v>0</v>
      </c>
    </row>
    <row r="42" spans="1:17" ht="14.1" customHeight="1" x14ac:dyDescent="0.4">
      <c r="B42" s="17"/>
      <c r="C42" s="17"/>
      <c r="D42" s="17"/>
      <c r="E42" s="17"/>
      <c r="F42" s="17"/>
      <c r="G42" s="17"/>
      <c r="H42" s="17"/>
      <c r="I42" s="17"/>
      <c r="J42" s="17"/>
      <c r="K42" s="17"/>
      <c r="L42" s="17"/>
      <c r="M42" s="17"/>
      <c r="N42" s="17"/>
      <c r="O42" s="17"/>
      <c r="P42" s="17"/>
      <c r="Q42" s="17"/>
    </row>
    <row r="43" spans="1:17" ht="14.1" customHeight="1" x14ac:dyDescent="0.15">
      <c r="B43" s="11"/>
      <c r="C43" s="40" t="s">
        <v>19</v>
      </c>
      <c r="D43" s="41" t="s">
        <v>20</v>
      </c>
      <c r="E43" s="26" t="s">
        <v>21</v>
      </c>
      <c r="F43" s="42" t="s">
        <v>19</v>
      </c>
      <c r="G43" s="43" t="s">
        <v>20</v>
      </c>
      <c r="H43" s="29" t="s">
        <v>21</v>
      </c>
      <c r="I43" s="44" t="s">
        <v>19</v>
      </c>
      <c r="J43" s="45" t="s">
        <v>20</v>
      </c>
      <c r="K43" s="32" t="s">
        <v>21</v>
      </c>
      <c r="L43" s="46" t="s">
        <v>19</v>
      </c>
      <c r="M43" s="47" t="s">
        <v>20</v>
      </c>
      <c r="N43" s="35" t="s">
        <v>21</v>
      </c>
      <c r="O43" s="48" t="s">
        <v>19</v>
      </c>
      <c r="P43" s="49" t="s">
        <v>20</v>
      </c>
      <c r="Q43" s="38" t="s">
        <v>21</v>
      </c>
    </row>
    <row r="44" spans="1:17" ht="14.1" customHeight="1" x14ac:dyDescent="0.15">
      <c r="B44" s="11" t="s">
        <v>22</v>
      </c>
      <c r="C44" s="57">
        <f>L17</f>
        <v>377771</v>
      </c>
      <c r="D44" s="57">
        <f>M17</f>
        <v>272598</v>
      </c>
      <c r="E44" s="57">
        <f>C44-D44</f>
        <v>105173</v>
      </c>
      <c r="F44" s="106"/>
      <c r="G44" s="106"/>
      <c r="H44" s="57">
        <f>F44-G44</f>
        <v>0</v>
      </c>
      <c r="I44" s="106" t="s">
        <v>45</v>
      </c>
      <c r="J44" s="106" t="s">
        <v>45</v>
      </c>
      <c r="K44" s="57" t="e">
        <f>I44-J44</f>
        <v>#VALUE!</v>
      </c>
      <c r="L44" s="106"/>
      <c r="M44" s="106"/>
      <c r="N44" s="57">
        <f>L44-M44</f>
        <v>0</v>
      </c>
      <c r="O44" s="56"/>
      <c r="P44" s="56"/>
      <c r="Q44" s="57">
        <f>O44-P44</f>
        <v>0</v>
      </c>
    </row>
    <row r="45" spans="1:17" ht="14.1" customHeight="1" x14ac:dyDescent="0.4">
      <c r="B45" s="11" t="s">
        <v>23</v>
      </c>
      <c r="C45" s="58">
        <f>IF(C44,D44/C44,0)</f>
        <v>0.72159588745562786</v>
      </c>
      <c r="D45" s="52">
        <f>IF(D40,D44/D40*1000,0)</f>
        <v>3981.3927674241982</v>
      </c>
      <c r="E45" s="55">
        <f>IF(D45,D40/D45,0)</f>
        <v>17.196997131306905</v>
      </c>
      <c r="F45" s="58">
        <f>IF(F44,G44/F44,0)</f>
        <v>0</v>
      </c>
      <c r="G45" s="52">
        <f>IF(G40,G44/G40*1000,0)</f>
        <v>0</v>
      </c>
      <c r="H45" s="55">
        <f>IF(G45,G40/G45,0)</f>
        <v>0</v>
      </c>
      <c r="I45" s="58" t="e">
        <f>IF(I44,J44/I44,0)</f>
        <v>#VALUE!</v>
      </c>
      <c r="J45" s="52" t="e">
        <f>IF(J40,J44/J40*1000,0)</f>
        <v>#VALUE!</v>
      </c>
      <c r="K45" s="55" t="e">
        <f>IF(J45,J40/J45,0)</f>
        <v>#VALUE!</v>
      </c>
      <c r="L45" s="58">
        <f>IF(L44,M44/L44,0)</f>
        <v>0</v>
      </c>
      <c r="M45" s="52">
        <f>IF(M40,M44/M40*1000,0)</f>
        <v>0</v>
      </c>
      <c r="N45" s="55">
        <f>IF(M45,M40/M45,0)</f>
        <v>0</v>
      </c>
      <c r="O45" s="58">
        <f>IF(O44,P44/O44,0)</f>
        <v>0</v>
      </c>
      <c r="P45" s="52">
        <f>IF(P40,P44/P40*1000,0)</f>
        <v>0</v>
      </c>
      <c r="Q45" s="55">
        <f>IF(P45,P40/P45,0)</f>
        <v>0</v>
      </c>
    </row>
    <row r="46" spans="1:17" ht="14.1" customHeight="1" x14ac:dyDescent="0.4">
      <c r="B46" s="17" t="s">
        <v>24</v>
      </c>
      <c r="C46" s="89">
        <f>IF(D44*C44&gt;0,IF((1/(D44/C44+0.33))&lt;1,1,IF((1/(D44/C44+0.33))&gt;1.5,1.5,1/(D44/C44+0.33))),0)</f>
        <v>1</v>
      </c>
      <c r="D46" s="17"/>
      <c r="E46" s="17"/>
      <c r="F46" s="88">
        <f>IF(G44*F44&gt;0,IF((1/(G44/F44+0.33))&lt;1,1,IF((1/(G44/F44+0.33))&gt;1.5,1.5,1/(G44/F44+0.33))),0)</f>
        <v>0</v>
      </c>
      <c r="G46" s="17"/>
      <c r="H46" s="17"/>
      <c r="I46" s="88" t="e">
        <f>IF(J44*I44&gt;0,IF((1/(J44/I44+0.33))&lt;1,1,IF((1/(J44/I44+0.33))&gt;1.5,1.5,1/(J44/I44+0.33))),0)</f>
        <v>#VALUE!</v>
      </c>
      <c r="J46" s="17"/>
      <c r="K46" s="17"/>
      <c r="L46" s="88">
        <f>IF(M44*L44&gt;0,IF((1/(M44/L44+0.33))&lt;1,1,IF((1/(M44/L44+0.33))&gt;1.5,1.5,1/(M44/L44+0.33))),0)</f>
        <v>0</v>
      </c>
      <c r="M46" s="17"/>
      <c r="N46" s="17"/>
      <c r="O46" s="89">
        <f>IF(P44*O44&gt;0,IF((1/(P44/O44+0.33))&lt;1,1,IF((1/(P44/O44+0.33))&gt;1.5,1.5,1/(P44/O44+0.33))),0)</f>
        <v>0</v>
      </c>
      <c r="P46" s="17"/>
      <c r="Q46" s="17"/>
    </row>
    <row r="47" spans="1:17" ht="14.1" customHeight="1" x14ac:dyDescent="0.15">
      <c r="B47" s="11"/>
      <c r="C47" s="40" t="s">
        <v>25</v>
      </c>
      <c r="D47" s="41" t="s">
        <v>26</v>
      </c>
      <c r="E47" s="26" t="s">
        <v>27</v>
      </c>
      <c r="F47" s="42" t="s">
        <v>25</v>
      </c>
      <c r="G47" s="43" t="s">
        <v>26</v>
      </c>
      <c r="H47" s="29" t="s">
        <v>27</v>
      </c>
      <c r="I47" s="44" t="s">
        <v>25</v>
      </c>
      <c r="J47" s="45" t="s">
        <v>26</v>
      </c>
      <c r="K47" s="32" t="s">
        <v>27</v>
      </c>
      <c r="L47" s="46" t="s">
        <v>25</v>
      </c>
      <c r="M47" s="47" t="s">
        <v>26</v>
      </c>
      <c r="N47" s="35" t="s">
        <v>27</v>
      </c>
      <c r="O47" s="48" t="s">
        <v>25</v>
      </c>
      <c r="P47" s="49" t="s">
        <v>26</v>
      </c>
      <c r="Q47" s="38" t="s">
        <v>27</v>
      </c>
    </row>
    <row r="48" spans="1:17" ht="14.1" customHeight="1" x14ac:dyDescent="0.15">
      <c r="B48" s="11" t="s">
        <v>28</v>
      </c>
      <c r="C48" s="57"/>
      <c r="D48" s="57"/>
      <c r="E48" s="57"/>
      <c r="F48" s="56"/>
      <c r="G48" s="56"/>
      <c r="H48" s="56"/>
      <c r="I48" s="106" t="s">
        <v>45</v>
      </c>
      <c r="J48" s="106" t="s">
        <v>45</v>
      </c>
      <c r="K48" s="107" t="s">
        <v>45</v>
      </c>
      <c r="L48" s="56"/>
      <c r="M48" s="56"/>
      <c r="N48" s="56"/>
      <c r="O48" s="56"/>
      <c r="P48" s="56"/>
      <c r="Q48" s="56"/>
    </row>
    <row r="49" spans="2:17" ht="14.1" customHeight="1" x14ac:dyDescent="0.15">
      <c r="B49" s="11" t="s">
        <v>29</v>
      </c>
      <c r="C49" s="64"/>
      <c r="D49" s="52">
        <f>M22</f>
        <v>56610</v>
      </c>
      <c r="E49" s="57">
        <f>C48+D48</f>
        <v>0</v>
      </c>
      <c r="F49" s="64"/>
      <c r="G49" s="51"/>
      <c r="H49" s="57">
        <f>F48+G48</f>
        <v>0</v>
      </c>
      <c r="I49" s="64"/>
      <c r="J49" s="108" t="s">
        <v>45</v>
      </c>
      <c r="K49" s="57" t="e">
        <f>I48+J48</f>
        <v>#VALUE!</v>
      </c>
      <c r="L49" s="64"/>
      <c r="M49" s="51"/>
      <c r="N49" s="57">
        <f>L48+M48</f>
        <v>0</v>
      </c>
      <c r="O49" s="64"/>
      <c r="P49" s="51"/>
      <c r="Q49" s="57">
        <f>O48+P48</f>
        <v>0</v>
      </c>
    </row>
    <row r="50" spans="2:17" ht="14.1" customHeight="1" x14ac:dyDescent="0.4">
      <c r="B50" s="17"/>
      <c r="C50" s="17"/>
      <c r="D50" s="17"/>
      <c r="E50" s="17"/>
      <c r="F50" s="17"/>
      <c r="G50" s="17"/>
      <c r="H50" s="17"/>
      <c r="I50" s="17"/>
      <c r="J50" s="17"/>
      <c r="K50" s="17"/>
      <c r="L50" s="17"/>
      <c r="M50" s="17"/>
      <c r="N50" s="17"/>
      <c r="O50" s="17"/>
      <c r="P50" s="17"/>
      <c r="Q50" s="17"/>
    </row>
    <row r="51" spans="2:17" ht="14.1" customHeight="1" x14ac:dyDescent="0.15">
      <c r="B51" s="11"/>
      <c r="C51" s="40" t="s">
        <v>30</v>
      </c>
      <c r="D51" s="41" t="s">
        <v>31</v>
      </c>
      <c r="E51" s="26" t="s">
        <v>32</v>
      </c>
      <c r="F51" s="42" t="s">
        <v>30</v>
      </c>
      <c r="G51" s="43" t="s">
        <v>31</v>
      </c>
      <c r="H51" s="29" t="s">
        <v>32</v>
      </c>
      <c r="I51" s="44" t="s">
        <v>30</v>
      </c>
      <c r="J51" s="45" t="s">
        <v>31</v>
      </c>
      <c r="K51" s="32" t="s">
        <v>32</v>
      </c>
      <c r="L51" s="46" t="s">
        <v>30</v>
      </c>
      <c r="M51" s="47" t="s">
        <v>31</v>
      </c>
      <c r="N51" s="35" t="s">
        <v>32</v>
      </c>
      <c r="O51" s="48" t="s">
        <v>30</v>
      </c>
      <c r="P51" s="49" t="s">
        <v>31</v>
      </c>
      <c r="Q51" s="38" t="s">
        <v>32</v>
      </c>
    </row>
    <row r="52" spans="2:17" ht="14.1" customHeight="1" x14ac:dyDescent="0.4">
      <c r="B52" s="11" t="s">
        <v>32</v>
      </c>
      <c r="C52" s="57">
        <f>D45*IF(C45&gt;=0.8,0.8,IF(C45&gt;=0.67,0.75,IF(C45&gt;=0.5,0.7,IF(C45&gt;=0.33,0.65,IF(C45&gt;=0.1,0.6,0.5)))))</f>
        <v>2986.0445755681485</v>
      </c>
      <c r="D52" s="57">
        <f>IF(C46&gt;0,IF(D31&gt;0,IF(D41*C44,D41*(D31*0.7/C44*150),0),0)*C46,0)</f>
        <v>0</v>
      </c>
      <c r="E52" s="57">
        <f>C52+D52</f>
        <v>2986.0445755681485</v>
      </c>
      <c r="F52" s="57">
        <f>G45*IF(F45&gt;=0.8,0.8,IF(F45&gt;=0.67,0.75,IF(F45&gt;=0.5,0.7,IF(F45&gt;=0.33,0.65,IF(F45&gt;=0.1,0.6,0.5)))))</f>
        <v>0</v>
      </c>
      <c r="G52" s="57">
        <f>IF(F46&gt;0,IF(G31&gt;0,IF(G41*F44,G41*(G31*0.7/F44*150),0),0)*F46,0)</f>
        <v>0</v>
      </c>
      <c r="H52" s="57">
        <f>F52+G52</f>
        <v>0</v>
      </c>
      <c r="I52" s="57" t="e">
        <f>J45*IF(I45&gt;=0.8,0.8,IF(I45&gt;=0.67,0.75,IF(I45&gt;=0.5,0.7,IF(I45&gt;=0.33,0.65,IF(I45&gt;=0.1,0.6,0.5)))))</f>
        <v>#VALUE!</v>
      </c>
      <c r="J52" s="57" t="e">
        <f>IF(I46&gt;0,IF(J31&gt;0,IF(J41*I44,J41*(J31*0.7/I44*150),0),0)*I46,0)</f>
        <v>#VALUE!</v>
      </c>
      <c r="K52" s="57" t="e">
        <f>I52+J52</f>
        <v>#VALUE!</v>
      </c>
      <c r="L52" s="57">
        <f>M45*IF(L45&gt;=0.8,0.8,IF(L45&gt;=0.67,0.75,IF(L45&gt;=0.5,0.7,IF(L45&gt;=0.33,0.65,IF(L45&gt;=0.1,0.6,0.5)))))</f>
        <v>0</v>
      </c>
      <c r="M52" s="57">
        <f>IF(L46&gt;0,IF(M31&gt;0,IF(M41*L44,M41*(M31*0.7/L44*150),0),0)*L46,0)</f>
        <v>0</v>
      </c>
      <c r="N52" s="57">
        <f>L52+M52</f>
        <v>0</v>
      </c>
      <c r="O52" s="57">
        <f>P45*IF(O45&gt;=0.8,0.8,IF(O45&gt;=0.67,0.75,IF(O45&gt;=0.5,0.7,IF(O45&gt;=0.33,0.65,IF(O45&gt;=0.1,0.6,0.5)))))</f>
        <v>0</v>
      </c>
      <c r="P52" s="57">
        <f>IF(O46&gt;0,IF(P31&gt;0,IF(P41*O44,P41*(P31*0.7/O44*150),0),0)*O46,0)</f>
        <v>0</v>
      </c>
      <c r="Q52" s="57">
        <f>O52+P52</f>
        <v>0</v>
      </c>
    </row>
    <row r="53" spans="2:17" ht="14.1" customHeight="1" x14ac:dyDescent="0.15">
      <c r="B53" s="11" t="s">
        <v>33</v>
      </c>
      <c r="C53" s="21">
        <f>L26</f>
        <v>45657</v>
      </c>
      <c r="D53" s="52">
        <f>M26</f>
        <v>0</v>
      </c>
      <c r="E53" s="61">
        <f>IF(E52,D53/E52,0)</f>
        <v>0</v>
      </c>
      <c r="F53" s="21">
        <f>DATE(LEFT(O4,4),LEFT(P4,LEN(P4)-2)-8,0)</f>
        <v>45747</v>
      </c>
      <c r="G53" s="109"/>
      <c r="H53" s="61">
        <f>IF(H52,G53/H52,0)</f>
        <v>0</v>
      </c>
      <c r="I53" s="21">
        <f>DATE(LEFT(O4,4),LEFT(P4,LEN(P4)-2)-5,0)</f>
        <v>45838</v>
      </c>
      <c r="J53" s="109"/>
      <c r="K53" s="61" t="e">
        <f>IF(K52,J53/K52,0)</f>
        <v>#VALUE!</v>
      </c>
      <c r="L53" s="21">
        <f>DATE(LEFT(O4,4),LEFT(P4,LEN(P4)-2)-2,0)</f>
        <v>45930</v>
      </c>
      <c r="M53" s="109"/>
      <c r="N53" s="61">
        <f>IF(N52,M53/N52,0)</f>
        <v>0</v>
      </c>
      <c r="O53" s="21">
        <f>DATE(LEFT(O4,4),LEFT(P4,LEN(P4)-2)+1,0)</f>
        <v>46022</v>
      </c>
      <c r="P53" s="51"/>
      <c r="Q53" s="61">
        <f>IF(Q52,P53/Q52,0)</f>
        <v>0</v>
      </c>
    </row>
    <row r="54" spans="2:17" ht="15.75" customHeight="1" x14ac:dyDescent="0.4">
      <c r="B54" s="22" t="s">
        <v>34</v>
      </c>
      <c r="C54" s="90">
        <f>C52+(D52*2)</f>
        <v>2986.0445755681485</v>
      </c>
      <c r="F54" s="90">
        <f>F52+(G52*2)</f>
        <v>0</v>
      </c>
      <c r="I54" s="90" t="e">
        <f>I52+(J52*2)</f>
        <v>#VALUE!</v>
      </c>
      <c r="J54" s="50"/>
      <c r="L54" s="90">
        <f>L52+(M52*2)</f>
        <v>0</v>
      </c>
      <c r="O54" s="90">
        <f>O52+(P52*2)</f>
        <v>0</v>
      </c>
    </row>
    <row r="56" spans="2:17" x14ac:dyDescent="0.4">
      <c r="B56" s="11"/>
      <c r="C56" s="12" t="s">
        <v>46</v>
      </c>
      <c r="D56" s="13" t="s">
        <v>47</v>
      </c>
      <c r="E56" s="97" t="s">
        <v>48</v>
      </c>
      <c r="F56" s="12" t="s">
        <v>46</v>
      </c>
      <c r="G56" s="13" t="s">
        <v>47</v>
      </c>
      <c r="H56" s="97" t="s">
        <v>48</v>
      </c>
      <c r="I56" s="12" t="s">
        <v>46</v>
      </c>
      <c r="J56" s="13" t="s">
        <v>47</v>
      </c>
      <c r="K56" s="97" t="s">
        <v>48</v>
      </c>
      <c r="L56" s="12" t="s">
        <v>46</v>
      </c>
      <c r="M56" s="13" t="s">
        <v>47</v>
      </c>
      <c r="N56" s="97" t="s">
        <v>48</v>
      </c>
      <c r="O56" s="12" t="s">
        <v>46</v>
      </c>
      <c r="P56" s="13" t="s">
        <v>47</v>
      </c>
      <c r="Q56" s="97" t="s">
        <v>48</v>
      </c>
    </row>
    <row r="57" spans="2:17" x14ac:dyDescent="0.4">
      <c r="B57" s="11" t="s">
        <v>49</v>
      </c>
      <c r="C57" s="56" t="s">
        <v>45</v>
      </c>
      <c r="D57" s="56" t="s">
        <v>45</v>
      </c>
      <c r="E57" s="56" t="s">
        <v>45</v>
      </c>
      <c r="F57" s="56" t="s">
        <v>45</v>
      </c>
      <c r="G57" s="56" t="s">
        <v>45</v>
      </c>
      <c r="H57" s="56" t="s">
        <v>45</v>
      </c>
      <c r="I57" s="56" t="s">
        <v>45</v>
      </c>
      <c r="J57" s="56" t="s">
        <v>45</v>
      </c>
      <c r="K57" s="56" t="s">
        <v>45</v>
      </c>
      <c r="L57" s="56">
        <v>-26</v>
      </c>
      <c r="M57" s="56" t="s">
        <v>45</v>
      </c>
      <c r="N57" s="56" t="s">
        <v>45</v>
      </c>
      <c r="O57" s="56" t="s">
        <v>45</v>
      </c>
      <c r="P57" s="56" t="s">
        <v>45</v>
      </c>
      <c r="Q57" s="56" t="s">
        <v>45</v>
      </c>
    </row>
    <row r="58" spans="2:17" x14ac:dyDescent="0.4">
      <c r="B58" s="11" t="s">
        <v>50</v>
      </c>
      <c r="C58" s="96"/>
      <c r="D58" s="96"/>
      <c r="E58" s="96" t="e">
        <f>((C57+D57+E57)-D22)/E22</f>
        <v>#VALUE!</v>
      </c>
      <c r="F58" s="96"/>
      <c r="G58" s="96"/>
      <c r="H58" s="96" t="e">
        <f>((F57+G57+H57)-G22)/H22</f>
        <v>#VALUE!</v>
      </c>
      <c r="I58" s="96"/>
      <c r="J58" s="96"/>
      <c r="K58" s="96" t="e">
        <f>((I57+J57+K57)-J22)/K22</f>
        <v>#VALUE!</v>
      </c>
      <c r="L58" s="96"/>
      <c r="M58" s="96"/>
      <c r="N58" s="96" t="e">
        <f>((L57+M57+N57)-M22)/N22</f>
        <v>#VALUE!</v>
      </c>
      <c r="O58" s="96"/>
      <c r="P58" s="96"/>
      <c r="Q58" s="96" t="e">
        <f>((O57+P57+Q57)-P22)/Q22</f>
        <v>#VALUE!</v>
      </c>
    </row>
    <row r="60" spans="2:17" x14ac:dyDescent="0.4">
      <c r="B60" s="11" t="s">
        <v>51</v>
      </c>
      <c r="C60" s="96"/>
      <c r="D60" s="56">
        <v>-7</v>
      </c>
      <c r="E60" s="15">
        <f>D60/E22</f>
        <v>1.289134438305709E-2</v>
      </c>
      <c r="F60" s="96"/>
      <c r="G60" s="56">
        <v>-5002</v>
      </c>
      <c r="H60" s="96">
        <f>G60/H22</f>
        <v>1.4985020970641103</v>
      </c>
      <c r="I60" s="96"/>
      <c r="J60" s="56">
        <v>-2</v>
      </c>
      <c r="K60" s="96">
        <f>J60/K22</f>
        <v>-1.0282776349614396E-4</v>
      </c>
      <c r="L60" s="96"/>
      <c r="M60" s="56">
        <v>-6</v>
      </c>
      <c r="N60" s="96">
        <f>M60/N22</f>
        <v>7.1064787397844367E-4</v>
      </c>
      <c r="O60" s="96"/>
      <c r="P60" s="56" t="s">
        <v>45</v>
      </c>
      <c r="Q60" s="96" t="e">
        <f>P60/Q22</f>
        <v>#VALUE!</v>
      </c>
    </row>
    <row r="61" spans="2:17" x14ac:dyDescent="0.4">
      <c r="B61" s="11" t="s">
        <v>52</v>
      </c>
      <c r="C61" s="96"/>
      <c r="D61" s="56">
        <v>-4545</v>
      </c>
      <c r="E61" s="15">
        <f>D61/E22</f>
        <v>8.3701657458563528</v>
      </c>
      <c r="F61" s="96"/>
      <c r="G61" s="56">
        <v>-4816</v>
      </c>
      <c r="H61" s="96">
        <f>G61/H22</f>
        <v>1.4427801078490115</v>
      </c>
      <c r="I61" s="96"/>
      <c r="J61" s="56">
        <v>-5087</v>
      </c>
      <c r="K61" s="96">
        <f>J61/K22</f>
        <v>-0.26154241645244214</v>
      </c>
      <c r="L61" s="96"/>
      <c r="M61" s="56">
        <v>-5405</v>
      </c>
      <c r="N61" s="96">
        <f>M61/N22</f>
        <v>0.64017529314224797</v>
      </c>
      <c r="O61" s="96"/>
      <c r="P61" s="56" t="s">
        <v>45</v>
      </c>
      <c r="Q61" s="96" t="e">
        <f>P61/Q22</f>
        <v>#VALUE!</v>
      </c>
    </row>
    <row r="62" spans="2:17" x14ac:dyDescent="0.4">
      <c r="D62" s="99"/>
      <c r="G62" s="99"/>
      <c r="J62" s="99"/>
      <c r="M62" s="99"/>
      <c r="P62" s="99"/>
    </row>
    <row r="63" spans="2:17" x14ac:dyDescent="0.4">
      <c r="B63" s="11" t="s">
        <v>53</v>
      </c>
      <c r="C63" s="96"/>
      <c r="D63" s="56" t="s">
        <v>45</v>
      </c>
      <c r="E63" s="96"/>
      <c r="F63" s="96"/>
      <c r="G63" s="56" t="s">
        <v>45</v>
      </c>
      <c r="H63" s="96"/>
      <c r="I63" s="96"/>
      <c r="J63" s="56" t="s">
        <v>45</v>
      </c>
      <c r="K63" s="96"/>
      <c r="L63" s="96"/>
      <c r="M63" s="56" t="s">
        <v>45</v>
      </c>
      <c r="N63" s="96"/>
      <c r="O63" s="96"/>
      <c r="P63" s="56"/>
      <c r="Q63" s="96"/>
    </row>
    <row r="64" spans="2:17" x14ac:dyDescent="0.4">
      <c r="B64" s="11" t="s">
        <v>54</v>
      </c>
      <c r="C64" s="96"/>
      <c r="D64" s="56" t="s">
        <v>45</v>
      </c>
      <c r="E64" s="96"/>
      <c r="F64" s="96"/>
      <c r="G64" s="56" t="s">
        <v>45</v>
      </c>
      <c r="H64" s="96"/>
      <c r="I64" s="96"/>
      <c r="J64" s="56" t="s">
        <v>45</v>
      </c>
      <c r="K64" s="96"/>
      <c r="L64" s="96"/>
      <c r="M64" s="56" t="s">
        <v>45</v>
      </c>
      <c r="N64" s="96"/>
      <c r="O64" s="96"/>
      <c r="P64" s="56"/>
      <c r="Q64" s="96"/>
    </row>
    <row r="65" spans="2:17" x14ac:dyDescent="0.4">
      <c r="B65" s="11" t="s">
        <v>55</v>
      </c>
      <c r="C65" s="96"/>
      <c r="D65" s="56" t="s">
        <v>45</v>
      </c>
      <c r="E65" s="96"/>
      <c r="F65" s="96"/>
      <c r="G65" s="56" t="s">
        <v>45</v>
      </c>
      <c r="H65" s="96"/>
      <c r="I65" s="96"/>
      <c r="J65" s="56" t="s">
        <v>45</v>
      </c>
      <c r="K65" s="96"/>
      <c r="L65" s="96"/>
      <c r="M65" s="56" t="s">
        <v>45</v>
      </c>
      <c r="N65" s="96"/>
      <c r="O65" s="96"/>
      <c r="P65" s="56"/>
      <c r="Q65" s="96"/>
    </row>
    <row r="66" spans="2:17" x14ac:dyDescent="0.4">
      <c r="B66" s="11" t="s">
        <v>56</v>
      </c>
      <c r="C66" s="96"/>
      <c r="D66" s="56">
        <v>406</v>
      </c>
      <c r="E66" s="96"/>
      <c r="F66" s="96"/>
      <c r="G66" s="56">
        <v>272</v>
      </c>
      <c r="H66" s="96"/>
      <c r="I66" s="96"/>
      <c r="J66" s="56">
        <v>448</v>
      </c>
      <c r="K66" s="96"/>
      <c r="L66" s="96"/>
      <c r="M66" s="56">
        <v>189</v>
      </c>
      <c r="N66" s="96"/>
      <c r="O66" s="96"/>
      <c r="P66" s="56"/>
      <c r="Q66" s="96"/>
    </row>
    <row r="67" spans="2:17" x14ac:dyDescent="0.4">
      <c r="B67" s="11" t="s">
        <v>57</v>
      </c>
      <c r="C67" s="96"/>
      <c r="D67" s="56">
        <v>14249</v>
      </c>
      <c r="E67" s="96"/>
      <c r="F67" s="96"/>
      <c r="G67" s="56">
        <v>13896</v>
      </c>
      <c r="H67" s="96"/>
      <c r="I67" s="96"/>
      <c r="J67" s="56">
        <v>14016</v>
      </c>
      <c r="K67" s="96"/>
      <c r="L67" s="96"/>
      <c r="M67" s="56">
        <v>16754</v>
      </c>
      <c r="N67" s="96"/>
      <c r="O67" s="96"/>
      <c r="P67" s="56"/>
      <c r="Q67" s="96"/>
    </row>
    <row r="69" spans="2:17" x14ac:dyDescent="0.4">
      <c r="B69" s="1" t="s">
        <v>58</v>
      </c>
      <c r="E69" s="1" t="s">
        <v>59</v>
      </c>
    </row>
    <row r="70" spans="2:17" x14ac:dyDescent="0.4">
      <c r="B70" s="1" t="s">
        <v>60</v>
      </c>
      <c r="E70" s="1" t="s">
        <v>61</v>
      </c>
      <c r="F70" s="1" t="s">
        <v>62</v>
      </c>
    </row>
    <row r="71" spans="2:17" x14ac:dyDescent="0.4">
      <c r="B71" s="1" t="s">
        <v>63</v>
      </c>
      <c r="E71" s="1" t="s">
        <v>64</v>
      </c>
      <c r="F71" s="1" t="s">
        <v>65</v>
      </c>
    </row>
    <row r="72" spans="2:17" x14ac:dyDescent="0.4">
      <c r="B72" s="1" t="s">
        <v>66</v>
      </c>
      <c r="E72" s="1" t="s">
        <v>67</v>
      </c>
      <c r="F72" s="1" t="s">
        <v>68</v>
      </c>
    </row>
    <row r="73" spans="2:17" x14ac:dyDescent="0.4">
      <c r="B73" s="1" t="s">
        <v>69</v>
      </c>
      <c r="E73" s="1" t="s">
        <v>70</v>
      </c>
      <c r="F73" s="1" t="s">
        <v>71</v>
      </c>
    </row>
    <row r="74" spans="2:17" x14ac:dyDescent="0.4">
      <c r="E74" s="1" t="s">
        <v>72</v>
      </c>
      <c r="F74" s="1" t="s">
        <v>73</v>
      </c>
    </row>
  </sheetData>
  <mergeCells count="4">
    <mergeCell ref="P2:Q2"/>
    <mergeCell ref="L2:M2"/>
    <mergeCell ref="P1:Q1"/>
    <mergeCell ref="L1:M1"/>
  </mergeCells>
  <phoneticPr fontId="2"/>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143"/>
  <sheetViews>
    <sheetView topLeftCell="A116" zoomScaleNormal="100" workbookViewId="0">
      <selection activeCell="G120" sqref="G120"/>
    </sheetView>
  </sheetViews>
  <sheetFormatPr defaultRowHeight="18.75" x14ac:dyDescent="0.4"/>
  <cols>
    <col min="1" max="1" width="2.125" style="116" customWidth="1"/>
    <col min="2" max="2" width="16.125" style="116" customWidth="1"/>
    <col min="3" max="17" width="8.375" style="116" customWidth="1"/>
  </cols>
  <sheetData>
    <row r="1" spans="1:17" ht="13.5" customHeight="1" x14ac:dyDescent="0.4">
      <c r="K1" s="7" t="s">
        <v>0</v>
      </c>
      <c r="L1" s="150" t="s">
        <v>1</v>
      </c>
      <c r="M1" s="147"/>
      <c r="N1" s="7" t="s">
        <v>2</v>
      </c>
      <c r="O1" s="7" t="s">
        <v>3</v>
      </c>
      <c r="P1" s="150" t="s">
        <v>4</v>
      </c>
      <c r="Q1" s="147"/>
    </row>
    <row r="2" spans="1:17" ht="13.5" customHeight="1" x14ac:dyDescent="0.4">
      <c r="K2" s="94">
        <f>決算入力!K2</f>
        <v>2206</v>
      </c>
      <c r="L2" s="151" t="str">
        <f>決算入力!L2</f>
        <v>江崎グリコ株式会社</v>
      </c>
      <c r="M2" s="147"/>
      <c r="N2" s="94">
        <f>決算入力!N2</f>
        <v>2025</v>
      </c>
      <c r="O2" s="94">
        <f>決算入力!O2</f>
        <v>12</v>
      </c>
      <c r="P2" s="152">
        <f ca="1">決算入力!P2</f>
        <v>46080.831258333332</v>
      </c>
      <c r="Q2" s="147"/>
    </row>
    <row r="3" spans="1:17" ht="13.5" customHeight="1" x14ac:dyDescent="0.4">
      <c r="A3" s="1" t="s">
        <v>6</v>
      </c>
      <c r="B3" s="1"/>
      <c r="C3" s="1"/>
      <c r="D3" s="1"/>
      <c r="E3" s="1"/>
      <c r="F3" s="1"/>
      <c r="G3" s="1"/>
      <c r="H3" s="1"/>
      <c r="I3" s="1"/>
      <c r="J3" s="1"/>
      <c r="K3" s="1"/>
      <c r="L3" s="1"/>
      <c r="M3" s="1"/>
      <c r="N3" s="1"/>
      <c r="O3" s="1"/>
      <c r="P3" s="1"/>
      <c r="Q3" s="1"/>
    </row>
    <row r="4" spans="1:17" ht="13.5" customHeight="1" x14ac:dyDescent="0.15">
      <c r="A4" s="1"/>
      <c r="B4" s="11"/>
      <c r="C4" s="12" t="str">
        <f>LEFT(F4,4)-1&amp;"年"</f>
        <v>2021年</v>
      </c>
      <c r="D4" s="13" t="str">
        <f>G4</f>
        <v>12 月期</v>
      </c>
      <c r="E4" s="14" t="s">
        <v>7</v>
      </c>
      <c r="F4" s="12" t="str">
        <f>LEFT(I4,4)-1&amp;"年"</f>
        <v>2022年</v>
      </c>
      <c r="G4" s="13" t="str">
        <f>J4</f>
        <v>12 月期</v>
      </c>
      <c r="H4" s="14" t="s">
        <v>7</v>
      </c>
      <c r="I4" s="12" t="str">
        <f>LEFT(L4,4)-1&amp;"年"</f>
        <v>2023年</v>
      </c>
      <c r="J4" s="13" t="str">
        <f>M4</f>
        <v>12 月期</v>
      </c>
      <c r="K4" s="14" t="s">
        <v>7</v>
      </c>
      <c r="L4" s="12" t="str">
        <f>LEFT(O4,4)-1&amp;"年"</f>
        <v>2024年</v>
      </c>
      <c r="M4" s="13" t="str">
        <f>P4</f>
        <v>12 月期</v>
      </c>
      <c r="N4" s="14" t="s">
        <v>7</v>
      </c>
      <c r="O4" s="12" t="str">
        <f>N2 &amp;" 年"</f>
        <v>2025 年</v>
      </c>
      <c r="P4" s="13" t="str">
        <f>O2 &amp;" 月期"</f>
        <v>12 月期</v>
      </c>
      <c r="Q4" s="14" t="s">
        <v>7</v>
      </c>
    </row>
    <row r="5" spans="1:17" ht="13.5" customHeight="1" x14ac:dyDescent="0.4">
      <c r="A5" s="1"/>
      <c r="B5" s="11" t="s">
        <v>8</v>
      </c>
      <c r="C5" s="15"/>
      <c r="D5" s="52">
        <f>決算入力!D5</f>
        <v>338571</v>
      </c>
      <c r="E5" s="16" t="s">
        <v>9</v>
      </c>
      <c r="F5" s="15"/>
      <c r="G5" s="52">
        <f>決算入力!G5</f>
        <v>303921</v>
      </c>
      <c r="H5" s="16" t="str">
        <f>E5</f>
        <v>百万</v>
      </c>
      <c r="I5" s="15"/>
      <c r="J5" s="52">
        <f>決算入力!J5</f>
        <v>332590</v>
      </c>
      <c r="K5" s="16" t="str">
        <f>E5</f>
        <v>百万</v>
      </c>
      <c r="L5" s="15"/>
      <c r="M5" s="52">
        <f>決算入力!M5</f>
        <v>331129</v>
      </c>
      <c r="N5" s="16" t="str">
        <f>E5</f>
        <v>百万</v>
      </c>
      <c r="O5" s="15"/>
      <c r="P5" s="52">
        <f>決算入力!P5</f>
        <v>0</v>
      </c>
      <c r="Q5" s="16" t="str">
        <f>H5</f>
        <v>百万</v>
      </c>
    </row>
    <row r="6" spans="1:17" ht="13.5" customHeight="1" x14ac:dyDescent="0.4">
      <c r="A6" s="1"/>
      <c r="B6" s="11" t="s">
        <v>10</v>
      </c>
      <c r="C6" s="15"/>
      <c r="D6" s="52">
        <f>決算入力!D6</f>
        <v>180537</v>
      </c>
      <c r="E6" s="53">
        <f t="shared" ref="E6:E11" si="0">IF(D$5,D6/D$5,"-")</f>
        <v>0.53323232054724123</v>
      </c>
      <c r="F6" s="15"/>
      <c r="G6" s="52">
        <f>決算入力!G6</f>
        <v>193172</v>
      </c>
      <c r="H6" s="53">
        <f t="shared" ref="H6:H11" si="1">IF(G$5,G6/G$5,"-")</f>
        <v>0.63559938273432903</v>
      </c>
      <c r="I6" s="15"/>
      <c r="J6" s="52">
        <f>決算入力!J6</f>
        <v>208740</v>
      </c>
      <c r="K6" s="53">
        <f t="shared" ref="K6:K11" si="2">IF(J$5,J6/J$5,"-")</f>
        <v>0.62761959168946746</v>
      </c>
      <c r="L6" s="15"/>
      <c r="M6" s="52">
        <f>決算入力!M6</f>
        <v>203461</v>
      </c>
      <c r="N6" s="53">
        <f t="shared" ref="N6:N11" si="3">IF(M$5,M6/M$5,"-")</f>
        <v>0.61444633360412404</v>
      </c>
      <c r="O6" s="15"/>
      <c r="P6" s="52">
        <f>決算入力!P6</f>
        <v>0</v>
      </c>
      <c r="Q6" s="53" t="str">
        <f t="shared" ref="Q6:Q11" si="4">IF(P$5,P6/P$5,"-")</f>
        <v>-</v>
      </c>
    </row>
    <row r="7" spans="1:17" ht="13.5" customHeight="1" x14ac:dyDescent="0.4">
      <c r="A7" s="1"/>
      <c r="B7" s="11" t="s">
        <v>11</v>
      </c>
      <c r="C7" s="15"/>
      <c r="D7" s="52">
        <f>決算入力!D7</f>
        <v>158033</v>
      </c>
      <c r="E7" s="53">
        <f t="shared" si="0"/>
        <v>0.46676472586252221</v>
      </c>
      <c r="F7" s="15"/>
      <c r="G7" s="52">
        <f>決算入力!G7</f>
        <v>110749</v>
      </c>
      <c r="H7" s="53">
        <f t="shared" si="1"/>
        <v>0.36440061726567102</v>
      </c>
      <c r="I7" s="15"/>
      <c r="J7" s="52">
        <f>決算入力!J7</f>
        <v>123850</v>
      </c>
      <c r="K7" s="53">
        <f t="shared" si="2"/>
        <v>0.37238040831053248</v>
      </c>
      <c r="L7" s="15"/>
      <c r="M7" s="52">
        <f>決算入力!M7</f>
        <v>127668</v>
      </c>
      <c r="N7" s="53">
        <f t="shared" si="3"/>
        <v>0.3855536663958759</v>
      </c>
      <c r="O7" s="15"/>
      <c r="P7" s="52">
        <f>決算入力!P7</f>
        <v>0</v>
      </c>
      <c r="Q7" s="53" t="str">
        <f t="shared" si="4"/>
        <v>-</v>
      </c>
    </row>
    <row r="8" spans="1:17" ht="13.5" customHeight="1" x14ac:dyDescent="0.4">
      <c r="A8" s="1"/>
      <c r="B8" s="11" t="s">
        <v>12</v>
      </c>
      <c r="C8" s="15"/>
      <c r="D8" s="52">
        <f>決算入力!D8</f>
        <v>138726</v>
      </c>
      <c r="E8" s="53">
        <f t="shared" si="0"/>
        <v>0.40973975916425209</v>
      </c>
      <c r="F8" s="15"/>
      <c r="G8" s="52">
        <f>決算入力!G8</f>
        <v>97903</v>
      </c>
      <c r="H8" s="53">
        <f t="shared" si="1"/>
        <v>0.32213305431345646</v>
      </c>
      <c r="I8" s="15"/>
      <c r="J8" s="52">
        <f>決算入力!J8</f>
        <v>105228</v>
      </c>
      <c r="K8" s="53">
        <f t="shared" si="2"/>
        <v>0.31638954869358671</v>
      </c>
      <c r="L8" s="15"/>
      <c r="M8" s="52">
        <f>決算入力!M8</f>
        <v>116602</v>
      </c>
      <c r="N8" s="53">
        <f t="shared" si="3"/>
        <v>0.35213466654989445</v>
      </c>
      <c r="O8" s="15"/>
      <c r="P8" s="52">
        <f>決算入力!P8</f>
        <v>0</v>
      </c>
      <c r="Q8" s="53" t="str">
        <f t="shared" si="4"/>
        <v>-</v>
      </c>
    </row>
    <row r="9" spans="1:17" ht="13.5" customHeight="1" x14ac:dyDescent="0.4">
      <c r="A9" s="1"/>
      <c r="B9" s="11" t="s">
        <v>13</v>
      </c>
      <c r="C9" s="15"/>
      <c r="D9" s="52">
        <f>決算入力!D9</f>
        <v>19307</v>
      </c>
      <c r="E9" s="53">
        <f t="shared" si="0"/>
        <v>5.7024966698270084E-2</v>
      </c>
      <c r="F9" s="15"/>
      <c r="G9" s="52">
        <f>決算入力!G9</f>
        <v>12845</v>
      </c>
      <c r="H9" s="53">
        <f t="shared" si="1"/>
        <v>4.226427262347781E-2</v>
      </c>
      <c r="I9" s="15"/>
      <c r="J9" s="52">
        <f>決算入力!J9</f>
        <v>18622</v>
      </c>
      <c r="K9" s="53">
        <f t="shared" si="2"/>
        <v>5.599085961694579E-2</v>
      </c>
      <c r="L9" s="15"/>
      <c r="M9" s="52">
        <f>決算入力!M9</f>
        <v>11065</v>
      </c>
      <c r="N9" s="53">
        <f t="shared" si="3"/>
        <v>3.34159798749128E-2</v>
      </c>
      <c r="O9" s="15"/>
      <c r="P9" s="52">
        <f>決算入力!P9</f>
        <v>0</v>
      </c>
      <c r="Q9" s="53" t="str">
        <f t="shared" si="4"/>
        <v>-</v>
      </c>
    </row>
    <row r="10" spans="1:17" ht="13.5" customHeight="1" x14ac:dyDescent="0.4">
      <c r="A10" s="1"/>
      <c r="B10" s="11" t="s">
        <v>14</v>
      </c>
      <c r="C10" s="15"/>
      <c r="D10" s="52">
        <f>決算入力!D10</f>
        <v>21708</v>
      </c>
      <c r="E10" s="53">
        <f t="shared" si="0"/>
        <v>6.4116536856375764E-2</v>
      </c>
      <c r="F10" s="15"/>
      <c r="G10" s="52">
        <f>決算入力!G10</f>
        <v>13646</v>
      </c>
      <c r="H10" s="53">
        <f t="shared" si="1"/>
        <v>4.4899825941609829E-2</v>
      </c>
      <c r="I10" s="15"/>
      <c r="J10" s="52">
        <f>決算入力!J10</f>
        <v>21285</v>
      </c>
      <c r="K10" s="53">
        <f t="shared" si="2"/>
        <v>6.3997714904236447E-2</v>
      </c>
      <c r="L10" s="15"/>
      <c r="M10" s="52">
        <f>決算入力!M10</f>
        <v>13348</v>
      </c>
      <c r="N10" s="53">
        <f t="shared" si="3"/>
        <v>4.031057382470276E-2</v>
      </c>
      <c r="O10" s="15"/>
      <c r="P10" s="52">
        <f>決算入力!P10</f>
        <v>0</v>
      </c>
      <c r="Q10" s="53" t="str">
        <f t="shared" si="4"/>
        <v>-</v>
      </c>
    </row>
    <row r="11" spans="1:17" ht="13.5" customHeight="1" x14ac:dyDescent="0.4">
      <c r="A11" s="1"/>
      <c r="B11" s="11" t="s">
        <v>15</v>
      </c>
      <c r="C11" s="15"/>
      <c r="D11" s="52">
        <f>決算入力!D11</f>
        <v>13567</v>
      </c>
      <c r="E11" s="53">
        <f t="shared" si="0"/>
        <v>4.0071358740116546E-2</v>
      </c>
      <c r="F11" s="15"/>
      <c r="G11" s="52">
        <f>決算入力!G11</f>
        <v>8156</v>
      </c>
      <c r="H11" s="53">
        <f t="shared" si="1"/>
        <v>2.6835921176884783E-2</v>
      </c>
      <c r="I11" s="15"/>
      <c r="J11" s="52">
        <f>決算入力!J11</f>
        <v>14219</v>
      </c>
      <c r="K11" s="53">
        <f t="shared" si="2"/>
        <v>4.2752337713100212E-2</v>
      </c>
      <c r="L11" s="15"/>
      <c r="M11" s="52">
        <f>決算入力!M11</f>
        <v>8157</v>
      </c>
      <c r="N11" s="53">
        <f t="shared" si="3"/>
        <v>2.4633904007199611E-2</v>
      </c>
      <c r="O11" s="15"/>
      <c r="P11" s="52">
        <f>決算入力!P11</f>
        <v>0</v>
      </c>
      <c r="Q11" s="53" t="str">
        <f t="shared" si="4"/>
        <v>-</v>
      </c>
    </row>
    <row r="12" spans="1:17" ht="13.5" customHeight="1" x14ac:dyDescent="0.4">
      <c r="A12" s="1"/>
      <c r="B12" s="17"/>
      <c r="C12" s="17"/>
      <c r="D12" s="17"/>
      <c r="E12" s="17"/>
      <c r="F12" s="17"/>
      <c r="G12" s="17"/>
      <c r="H12" s="17"/>
      <c r="I12" s="17"/>
      <c r="J12" s="17"/>
      <c r="K12" s="17"/>
      <c r="L12" s="17"/>
      <c r="M12" s="17"/>
      <c r="N12" s="17"/>
      <c r="O12" s="17"/>
      <c r="P12" s="17"/>
      <c r="Q12" s="17"/>
    </row>
    <row r="13" spans="1:17" ht="13.5" customHeight="1" x14ac:dyDescent="0.4">
      <c r="A13" s="1"/>
      <c r="B13" s="11" t="s">
        <v>16</v>
      </c>
      <c r="C13" s="15"/>
      <c r="D13" s="52">
        <f>決算入力!D13</f>
        <v>68468</v>
      </c>
      <c r="E13" s="16" t="s">
        <v>17</v>
      </c>
      <c r="F13" s="15"/>
      <c r="G13" s="52">
        <f>決算入力!G13</f>
        <v>68468</v>
      </c>
      <c r="H13" s="16" t="str">
        <f>E13</f>
        <v>千株</v>
      </c>
      <c r="I13" s="15"/>
      <c r="J13" s="52">
        <f>決算入力!J13</f>
        <v>68468</v>
      </c>
      <c r="K13" s="16" t="str">
        <f>H13</f>
        <v>千株</v>
      </c>
      <c r="L13" s="15"/>
      <c r="M13" s="52">
        <f>決算入力!M13</f>
        <v>68468</v>
      </c>
      <c r="N13" s="16" t="str">
        <f>K13</f>
        <v>千株</v>
      </c>
      <c r="O13" s="15"/>
      <c r="P13" s="52">
        <f>決算入力!P13</f>
        <v>68468</v>
      </c>
      <c r="Q13" s="16" t="str">
        <f>N13</f>
        <v>千株</v>
      </c>
    </row>
    <row r="14" spans="1:17" ht="13.5" customHeight="1" x14ac:dyDescent="0.4">
      <c r="A14" s="1"/>
      <c r="B14" s="11" t="s">
        <v>74</v>
      </c>
      <c r="C14" s="15"/>
      <c r="D14" s="54">
        <f>決算入力!D14</f>
        <v>221.93725536016822</v>
      </c>
      <c r="E14" s="55">
        <f>決算入力!E14</f>
        <v>0</v>
      </c>
      <c r="F14" s="15"/>
      <c r="G14" s="54">
        <f>決算入力!G14</f>
        <v>139.51334930186366</v>
      </c>
      <c r="H14" s="55">
        <f>決算入力!H14</f>
        <v>0</v>
      </c>
      <c r="I14" s="15"/>
      <c r="J14" s="54">
        <f>決算入力!J14</f>
        <v>217.61260734941868</v>
      </c>
      <c r="K14" s="55">
        <f>決算入力!K14</f>
        <v>0</v>
      </c>
      <c r="L14" s="15"/>
      <c r="M14" s="54">
        <f>決算入力!M14</f>
        <v>136.46667056143016</v>
      </c>
      <c r="N14" s="55">
        <f>決算入力!N14</f>
        <v>0</v>
      </c>
      <c r="O14" s="15"/>
      <c r="P14" s="54">
        <f>決算入力!P14</f>
        <v>0</v>
      </c>
      <c r="Q14" s="55">
        <f>決算入力!Q14</f>
        <v>0</v>
      </c>
    </row>
    <row r="15" spans="1:17" ht="13.5" customHeight="1" x14ac:dyDescent="0.4">
      <c r="A15" s="1"/>
      <c r="B15" s="17"/>
      <c r="C15" s="17"/>
      <c r="D15" s="17"/>
      <c r="E15" s="17"/>
      <c r="F15" s="17"/>
      <c r="G15" s="17"/>
      <c r="H15" s="17"/>
      <c r="I15" s="17"/>
      <c r="J15" s="17"/>
      <c r="K15" s="17"/>
      <c r="L15" s="17"/>
      <c r="M15" s="17"/>
      <c r="N15" s="17"/>
      <c r="O15" s="17"/>
      <c r="P15" s="17"/>
      <c r="Q15" s="17"/>
    </row>
    <row r="16" spans="1:17" ht="13.5" customHeight="1" x14ac:dyDescent="0.15">
      <c r="A16" s="1"/>
      <c r="B16" s="11"/>
      <c r="C16" s="19" t="s">
        <v>19</v>
      </c>
      <c r="D16" s="20" t="s">
        <v>20</v>
      </c>
      <c r="E16" s="14" t="s">
        <v>21</v>
      </c>
      <c r="F16" s="19" t="s">
        <v>19</v>
      </c>
      <c r="G16" s="20" t="s">
        <v>20</v>
      </c>
      <c r="H16" s="14" t="s">
        <v>21</v>
      </c>
      <c r="I16" s="19" t="s">
        <v>19</v>
      </c>
      <c r="J16" s="20" t="s">
        <v>20</v>
      </c>
      <c r="K16" s="14" t="s">
        <v>21</v>
      </c>
      <c r="L16" s="19" t="s">
        <v>19</v>
      </c>
      <c r="M16" s="20" t="s">
        <v>20</v>
      </c>
      <c r="N16" s="14" t="s">
        <v>21</v>
      </c>
      <c r="O16" s="19" t="s">
        <v>19</v>
      </c>
      <c r="P16" s="20" t="s">
        <v>20</v>
      </c>
      <c r="Q16" s="14" t="s">
        <v>21</v>
      </c>
    </row>
    <row r="17" spans="1:23" ht="13.5" customHeight="1" x14ac:dyDescent="0.4">
      <c r="A17" s="1"/>
      <c r="B17" s="11" t="s">
        <v>22</v>
      </c>
      <c r="C17" s="57">
        <f>決算入力!C17</f>
        <v>356745</v>
      </c>
      <c r="D17" s="57">
        <f>決算入力!D17</f>
        <v>241177</v>
      </c>
      <c r="E17" s="57">
        <f>C17-D17</f>
        <v>115568</v>
      </c>
      <c r="F17" s="57">
        <f>決算入力!F17</f>
        <v>369056</v>
      </c>
      <c r="G17" s="57">
        <f>決算入力!G17</f>
        <v>244760</v>
      </c>
      <c r="H17" s="57">
        <f>F17-G17</f>
        <v>124296</v>
      </c>
      <c r="I17" s="57">
        <f>決算入力!I17</f>
        <v>395743</v>
      </c>
      <c r="J17" s="57">
        <f>決算入力!J17</f>
        <v>263116</v>
      </c>
      <c r="K17" s="57">
        <f>I17-J17</f>
        <v>132627</v>
      </c>
      <c r="L17" s="57">
        <f>決算入力!L17</f>
        <v>377771</v>
      </c>
      <c r="M17" s="57">
        <f>決算入力!M17</f>
        <v>272598</v>
      </c>
      <c r="N17" s="57">
        <f>L17-M17</f>
        <v>105173</v>
      </c>
      <c r="O17" s="57" t="e">
        <f>決算入力!O17</f>
        <v>#VALUE!</v>
      </c>
      <c r="P17" s="57" t="e">
        <f>決算入力!P17</f>
        <v>#VALUE!</v>
      </c>
      <c r="Q17" s="57" t="e">
        <f>O17-P17</f>
        <v>#VALUE!</v>
      </c>
    </row>
    <row r="18" spans="1:23" ht="13.5" customHeight="1" x14ac:dyDescent="0.4">
      <c r="A18" s="1"/>
      <c r="B18" s="11" t="s">
        <v>75</v>
      </c>
      <c r="C18" s="58">
        <f>IF(C17,D17/C17,0)</f>
        <v>0.67604871827215518</v>
      </c>
      <c r="D18" s="52">
        <f>IF(D13,D17/D13*1000,0)</f>
        <v>3522.4776537944736</v>
      </c>
      <c r="E18" s="55">
        <f>決算入力!E18</f>
        <v>0</v>
      </c>
      <c r="F18" s="58">
        <f>IF(F17,G17/F17,0)</f>
        <v>0.66320558397641549</v>
      </c>
      <c r="G18" s="52">
        <f>IF(G13,G17/G13*1000,0)</f>
        <v>3574.8086697435301</v>
      </c>
      <c r="H18" s="55">
        <f>決算入力!H18</f>
        <v>0</v>
      </c>
      <c r="I18" s="58">
        <f>IF(I17,J17/I17,0)</f>
        <v>0.66486583464521165</v>
      </c>
      <c r="J18" s="52">
        <f>IF(J13,J17/J13*1000,0)</f>
        <v>3842.9047146112052</v>
      </c>
      <c r="K18" s="55">
        <f>決算入力!K18</f>
        <v>0</v>
      </c>
      <c r="L18" s="58">
        <f>IF(L17,M17/L17,0)</f>
        <v>0.72159588745562786</v>
      </c>
      <c r="M18" s="52">
        <f>IF(M13,M17/M13*1000,0)</f>
        <v>3981.3927674241982</v>
      </c>
      <c r="N18" s="55">
        <f>決算入力!N18</f>
        <v>0</v>
      </c>
      <c r="O18" s="58" t="e">
        <f>IF(O17,P17/O17,0)</f>
        <v>#VALUE!</v>
      </c>
      <c r="P18" s="52" t="e">
        <f>IF(P13,P17/P13*1000,0)</f>
        <v>#VALUE!</v>
      </c>
      <c r="Q18" s="55" t="e">
        <f>決算入力!Q18</f>
        <v>#VALUE!</v>
      </c>
    </row>
    <row r="19" spans="1:23" ht="13.5" customHeight="1" x14ac:dyDescent="0.4">
      <c r="A19" s="1"/>
      <c r="B19" s="17"/>
      <c r="C19" s="17">
        <f>IF(D17*C17&gt;0,IF((1/(D17/C17+0.33))&lt;1,1,IF((1/(D17/C17+0.33))&gt;1.5,1.5,1/(D17/C17+0.33))),0)</f>
        <v>1</v>
      </c>
      <c r="D19" s="17"/>
      <c r="E19" s="17"/>
      <c r="F19" s="17">
        <f>IF(G17*F17&gt;0,IF((1/(G17/F17+0.33))&lt;1,1,IF((1/(G17/F17+0.33))&gt;1.5,1.5,1/(G17/F17+0.33))),0)</f>
        <v>1.0068408959164146</v>
      </c>
      <c r="G19" s="17"/>
      <c r="H19" s="17"/>
      <c r="I19" s="17">
        <f>IF(J17*I17&gt;0,IF((1/(J17/I17+0.33))&lt;1,1,IF((1/(J17/I17+0.33))&gt;1.5,1.5,1/(J17/I17+0.33))),0)</f>
        <v>1.0051606610419175</v>
      </c>
      <c r="J19" s="17"/>
      <c r="K19" s="17"/>
      <c r="L19" s="17">
        <f>IF(M17*L17&gt;0,IF((1/(M17/L17+0.33))&lt;1,1,IF((1/(M17/L17+0.33))&gt;1.5,1.5,1/(M17/L17+0.33))),0)</f>
        <v>1</v>
      </c>
      <c r="M19" s="17"/>
      <c r="N19" s="17"/>
      <c r="O19" s="17" t="e">
        <f>IF(P17*O17&gt;0,IF((1/(P17/O17+0.33))&lt;1,1,IF((1/(P17/O17+0.33))&gt;1.5,1.5,1/(P17/O17+0.33))),0)</f>
        <v>#VALUE!</v>
      </c>
      <c r="P19" s="17"/>
      <c r="Q19" s="17"/>
    </row>
    <row r="20" spans="1:23" ht="13.5" customHeight="1" x14ac:dyDescent="0.15">
      <c r="A20" s="1"/>
      <c r="B20" s="11"/>
      <c r="C20" s="19" t="s">
        <v>25</v>
      </c>
      <c r="D20" s="20" t="s">
        <v>26</v>
      </c>
      <c r="E20" s="14" t="s">
        <v>27</v>
      </c>
      <c r="F20" s="19" t="s">
        <v>25</v>
      </c>
      <c r="G20" s="20" t="s">
        <v>26</v>
      </c>
      <c r="H20" s="14" t="s">
        <v>27</v>
      </c>
      <c r="I20" s="19" t="s">
        <v>25</v>
      </c>
      <c r="J20" s="20" t="s">
        <v>26</v>
      </c>
      <c r="K20" s="14" t="s">
        <v>27</v>
      </c>
      <c r="L20" s="19" t="s">
        <v>25</v>
      </c>
      <c r="M20" s="20" t="s">
        <v>26</v>
      </c>
      <c r="N20" s="14" t="s">
        <v>27</v>
      </c>
      <c r="O20" s="19" t="s">
        <v>25</v>
      </c>
      <c r="P20" s="20" t="s">
        <v>26</v>
      </c>
      <c r="Q20" s="14" t="s">
        <v>27</v>
      </c>
    </row>
    <row r="21" spans="1:23" ht="13.5" customHeight="1" x14ac:dyDescent="0.4">
      <c r="A21" s="1"/>
      <c r="B21" s="11" t="s">
        <v>28</v>
      </c>
      <c r="C21" s="57">
        <f>決算入力!C21</f>
        <v>28651</v>
      </c>
      <c r="D21" s="57">
        <f>決算入力!D21</f>
        <v>-29194</v>
      </c>
      <c r="E21" s="57">
        <f>決算入力!E21</f>
        <v>-4859</v>
      </c>
      <c r="F21" s="57">
        <f>決算入力!F21</f>
        <v>16802</v>
      </c>
      <c r="G21" s="57">
        <f>決算入力!G21</f>
        <v>-20140</v>
      </c>
      <c r="H21" s="57">
        <f>決算入力!H21</f>
        <v>-10284</v>
      </c>
      <c r="I21" s="57">
        <f>決算入力!I21</f>
        <v>28063</v>
      </c>
      <c r="J21" s="57">
        <f>決算入力!J21</f>
        <v>-8613</v>
      </c>
      <c r="K21" s="57">
        <f>決算入力!K21</f>
        <v>-6179</v>
      </c>
      <c r="L21" s="57">
        <f>決算入力!L21</f>
        <v>1812</v>
      </c>
      <c r="M21" s="57">
        <f>決算入力!M21</f>
        <v>-10255</v>
      </c>
      <c r="N21" s="57">
        <f>決算入力!N21</f>
        <v>-39246</v>
      </c>
      <c r="O21" s="57" t="e">
        <f>決算入力!O21</f>
        <v>#VALUE!</v>
      </c>
      <c r="P21" s="57" t="e">
        <f>決算入力!P21</f>
        <v>#VALUE!</v>
      </c>
      <c r="Q21" s="57" t="e">
        <f>決算入力!Q21</f>
        <v>#VALUE!</v>
      </c>
    </row>
    <row r="22" spans="1:23" ht="13.5" customHeight="1" x14ac:dyDescent="0.4">
      <c r="A22" s="1"/>
      <c r="B22" s="11" t="s">
        <v>76</v>
      </c>
      <c r="C22" s="59"/>
      <c r="D22" s="52">
        <f>決算入力!D22</f>
        <v>89463</v>
      </c>
      <c r="E22" s="52">
        <f>決算入力!E22</f>
        <v>-543</v>
      </c>
      <c r="F22" s="59"/>
      <c r="G22" s="52">
        <f>決算入力!G22</f>
        <v>79917</v>
      </c>
      <c r="H22" s="52">
        <f>決算入力!H22</f>
        <v>-3338</v>
      </c>
      <c r="I22" s="59"/>
      <c r="J22" s="52">
        <f>決算入力!J22</f>
        <v>94691</v>
      </c>
      <c r="K22" s="52">
        <f>決算入力!K22</f>
        <v>19450</v>
      </c>
      <c r="L22" s="59"/>
      <c r="M22" s="52">
        <f>決算入力!M22</f>
        <v>56610</v>
      </c>
      <c r="N22" s="52">
        <f>決算入力!N22</f>
        <v>-8443</v>
      </c>
      <c r="O22" s="59"/>
      <c r="P22" s="52" t="e">
        <f>決算入力!P22</f>
        <v>#VALUE!</v>
      </c>
      <c r="Q22" s="52" t="e">
        <f>決算入力!Q22</f>
        <v>#VALUE!</v>
      </c>
    </row>
    <row r="23" spans="1:23" ht="13.5" customHeight="1" x14ac:dyDescent="0.4"/>
    <row r="24" spans="1:23" ht="13.5" customHeight="1" x14ac:dyDescent="0.4"/>
    <row r="25" spans="1:23" ht="13.5" customHeight="1" x14ac:dyDescent="0.4"/>
    <row r="26" spans="1:23" ht="13.5" customHeight="1" x14ac:dyDescent="0.4"/>
    <row r="27" spans="1:23" ht="13.5" customHeight="1" x14ac:dyDescent="0.4"/>
    <row r="28" spans="1:23" ht="13.5" customHeight="1" x14ac:dyDescent="0.4"/>
    <row r="29" spans="1:23" ht="13.5" customHeight="1" x14ac:dyDescent="0.4"/>
    <row r="30" spans="1:23" ht="13.5" customHeight="1" x14ac:dyDescent="0.4"/>
    <row r="31" spans="1:23" ht="13.5" customHeight="1" x14ac:dyDescent="0.4">
      <c r="S31" s="2"/>
      <c r="T31" s="3"/>
      <c r="U31" s="4"/>
      <c r="V31" s="5"/>
      <c r="W31" s="6"/>
    </row>
    <row r="32" spans="1:23" ht="13.5" customHeight="1" x14ac:dyDescent="0.4">
      <c r="S32" s="8"/>
      <c r="T32" s="9"/>
      <c r="U32" s="1"/>
      <c r="V32" s="1"/>
      <c r="W32" s="10"/>
    </row>
    <row r="33" spans="19:20" ht="13.5" customHeight="1" x14ac:dyDescent="0.4">
      <c r="S33" s="92"/>
      <c r="T33" s="93"/>
    </row>
    <row r="34" spans="19:20" ht="13.5" customHeight="1" x14ac:dyDescent="0.4"/>
    <row r="35" spans="19:20" ht="13.5" customHeight="1" x14ac:dyDescent="0.4"/>
    <row r="36" spans="19:20" ht="13.5" customHeight="1" x14ac:dyDescent="0.4"/>
    <row r="37" spans="19:20" ht="13.5" customHeight="1" x14ac:dyDescent="0.4"/>
    <row r="38" spans="19:20" ht="13.5" customHeight="1" x14ac:dyDescent="0.4"/>
    <row r="39" spans="19:20" ht="13.5" customHeight="1" x14ac:dyDescent="0.4"/>
    <row r="40" spans="19:20" ht="13.5" customHeight="1" x14ac:dyDescent="0.4"/>
    <row r="41" spans="19:20" ht="13.5" customHeight="1" x14ac:dyDescent="0.4"/>
    <row r="42" spans="19:20" ht="13.5" customHeight="1" x14ac:dyDescent="0.4"/>
    <row r="43" spans="19:20" ht="13.5" customHeight="1" x14ac:dyDescent="0.4"/>
    <row r="44" spans="19:20" ht="13.5" customHeight="1" x14ac:dyDescent="0.4"/>
    <row r="45" spans="19:20" ht="13.5" customHeight="1" x14ac:dyDescent="0.4"/>
    <row r="46" spans="19:20" ht="13.5" customHeight="1" x14ac:dyDescent="0.4"/>
    <row r="47" spans="19:20" ht="13.5" customHeight="1" x14ac:dyDescent="0.4"/>
    <row r="48" spans="19:20" ht="13.5" customHeight="1" x14ac:dyDescent="0.4"/>
    <row r="49" spans="1:17" ht="13.5" customHeight="1" x14ac:dyDescent="0.4"/>
    <row r="50" spans="1:17" ht="13.5" customHeight="1" x14ac:dyDescent="0.4">
      <c r="M50" s="86"/>
    </row>
    <row r="51" spans="1:17" ht="13.5" customHeight="1" x14ac:dyDescent="0.4">
      <c r="A51" s="1" t="s">
        <v>77</v>
      </c>
    </row>
    <row r="52" spans="1:17" ht="13.5" customHeight="1" x14ac:dyDescent="0.4">
      <c r="C52" s="66" t="s">
        <v>78</v>
      </c>
      <c r="D52" s="67"/>
      <c r="E52" s="67"/>
      <c r="F52" s="67"/>
      <c r="G52" s="68"/>
      <c r="H52" s="66" t="s">
        <v>79</v>
      </c>
      <c r="I52" s="67"/>
      <c r="J52" s="67"/>
      <c r="K52" s="67"/>
      <c r="L52" s="83" t="s">
        <v>37</v>
      </c>
      <c r="M52" s="66" t="s">
        <v>79</v>
      </c>
      <c r="N52" s="67"/>
      <c r="O52" s="67"/>
      <c r="P52" s="67"/>
      <c r="Q52" s="83" t="s">
        <v>80</v>
      </c>
    </row>
    <row r="53" spans="1:17" ht="13.5" customHeight="1" x14ac:dyDescent="0.4">
      <c r="B53" s="7" t="s">
        <v>78</v>
      </c>
      <c r="C53" s="69" t="s">
        <v>81</v>
      </c>
      <c r="D53" s="70" t="s">
        <v>82</v>
      </c>
      <c r="E53" s="71" t="s">
        <v>83</v>
      </c>
      <c r="F53" s="72" t="s">
        <v>84</v>
      </c>
      <c r="G53" s="73" t="s">
        <v>85</v>
      </c>
      <c r="H53" s="69" t="s">
        <v>81</v>
      </c>
      <c r="I53" s="70" t="s">
        <v>82</v>
      </c>
      <c r="J53" s="71" t="s">
        <v>83</v>
      </c>
      <c r="K53" s="72" t="s">
        <v>84</v>
      </c>
      <c r="L53" s="73" t="s">
        <v>85</v>
      </c>
      <c r="M53" s="69" t="s">
        <v>81</v>
      </c>
      <c r="N53" s="70" t="s">
        <v>82</v>
      </c>
      <c r="O53" s="71" t="s">
        <v>83</v>
      </c>
      <c r="P53" s="72" t="s">
        <v>84</v>
      </c>
      <c r="Q53" s="73" t="s">
        <v>85</v>
      </c>
    </row>
    <row r="54" spans="1:17" ht="13.5" customHeight="1" x14ac:dyDescent="0.4">
      <c r="B54" s="74">
        <f>N2</f>
        <v>2025</v>
      </c>
      <c r="C54" s="75">
        <f>D5</f>
        <v>338571</v>
      </c>
      <c r="D54" s="75">
        <f>G5</f>
        <v>303921</v>
      </c>
      <c r="E54" s="75">
        <f>J5</f>
        <v>332590</v>
      </c>
      <c r="F54" s="75">
        <f>M5</f>
        <v>331129</v>
      </c>
      <c r="G54" s="75">
        <f>P5</f>
        <v>0</v>
      </c>
      <c r="H54" s="16" t="s">
        <v>86</v>
      </c>
      <c r="I54" s="76">
        <f>IF(C54,D54/C54,"-")</f>
        <v>0.89765809830139021</v>
      </c>
      <c r="J54" s="76">
        <f>IF(D54,E54/D54,"-")</f>
        <v>1.0943304345537164</v>
      </c>
      <c r="K54" s="76">
        <f>IF(E54,F54/E54,"-")</f>
        <v>0.99560720406506509</v>
      </c>
      <c r="L54" s="76">
        <f>IF(F54,G54/F54,"-")</f>
        <v>0</v>
      </c>
      <c r="M54" s="76">
        <f>IF($C54,C54/$C54,"-")</f>
        <v>1</v>
      </c>
      <c r="N54" s="76">
        <f>IF($C54,D54/$C54,"-")</f>
        <v>0.89765809830139021</v>
      </c>
      <c r="O54" s="76">
        <f>IF($C54,E54/$C54,"-")</f>
        <v>0.98233457679482294</v>
      </c>
      <c r="P54" s="76">
        <f>IF($C54,F54/$C54,"-")</f>
        <v>0.9780193814591327</v>
      </c>
      <c r="Q54" s="76">
        <f>IF($C54,G54/$C54,"-")</f>
        <v>0</v>
      </c>
    </row>
    <row r="55" spans="1:17" ht="13.5" customHeight="1" x14ac:dyDescent="0.4"/>
    <row r="56" spans="1:17" ht="13.5" customHeight="1" x14ac:dyDescent="0.4">
      <c r="C56" s="66" t="s">
        <v>14</v>
      </c>
      <c r="D56" s="67"/>
      <c r="E56" s="67"/>
      <c r="F56" s="67"/>
      <c r="G56" s="68"/>
      <c r="H56" s="66" t="s">
        <v>87</v>
      </c>
      <c r="I56" s="67"/>
      <c r="J56" s="67"/>
      <c r="K56" s="67"/>
      <c r="L56" s="83" t="s">
        <v>37</v>
      </c>
      <c r="M56" s="66" t="s">
        <v>87</v>
      </c>
      <c r="N56" s="67"/>
      <c r="O56" s="67"/>
      <c r="P56" s="67"/>
      <c r="Q56" s="83" t="s">
        <v>80</v>
      </c>
    </row>
    <row r="57" spans="1:17" ht="13.5" customHeight="1" x14ac:dyDescent="0.4">
      <c r="B57" s="7" t="s">
        <v>14</v>
      </c>
      <c r="C57" s="69" t="s">
        <v>81</v>
      </c>
      <c r="D57" s="70" t="s">
        <v>82</v>
      </c>
      <c r="E57" s="71" t="s">
        <v>83</v>
      </c>
      <c r="F57" s="72" t="s">
        <v>84</v>
      </c>
      <c r="G57" s="73" t="s">
        <v>85</v>
      </c>
      <c r="H57" s="69" t="s">
        <v>81</v>
      </c>
      <c r="I57" s="70" t="s">
        <v>82</v>
      </c>
      <c r="J57" s="71" t="s">
        <v>83</v>
      </c>
      <c r="K57" s="72" t="s">
        <v>84</v>
      </c>
      <c r="L57" s="73" t="s">
        <v>85</v>
      </c>
      <c r="M57" s="69" t="s">
        <v>81</v>
      </c>
      <c r="N57" s="70" t="s">
        <v>82</v>
      </c>
      <c r="O57" s="71" t="s">
        <v>83</v>
      </c>
      <c r="P57" s="72" t="s">
        <v>84</v>
      </c>
      <c r="Q57" s="73" t="s">
        <v>85</v>
      </c>
    </row>
    <row r="58" spans="1:17" ht="13.5" customHeight="1" x14ac:dyDescent="0.4">
      <c r="B58" s="74">
        <f>B$54</f>
        <v>2025</v>
      </c>
      <c r="C58" s="75">
        <f>D10</f>
        <v>21708</v>
      </c>
      <c r="D58" s="75">
        <f>G10</f>
        <v>13646</v>
      </c>
      <c r="E58" s="75">
        <f>J10</f>
        <v>21285</v>
      </c>
      <c r="F58" s="75">
        <f>M10</f>
        <v>13348</v>
      </c>
      <c r="G58" s="75">
        <f>P10</f>
        <v>0</v>
      </c>
      <c r="H58" s="16" t="s">
        <v>86</v>
      </c>
      <c r="I58" s="76">
        <f>IF(C58,D58/C58,"-")</f>
        <v>0.62861617836742212</v>
      </c>
      <c r="J58" s="76">
        <f>IF(D58,E58/D58,"-")</f>
        <v>1.5597977429283307</v>
      </c>
      <c r="K58" s="76">
        <f>IF(E58,F58/E58,"-")</f>
        <v>0.62710829222457132</v>
      </c>
      <c r="L58" s="76">
        <f>IF(F58,G58/F58,"-")</f>
        <v>0</v>
      </c>
      <c r="M58" s="76">
        <f>IF($C58,C58/$C58,"-")</f>
        <v>1</v>
      </c>
      <c r="N58" s="76">
        <f>IF($C58,D58/$C58,"-")</f>
        <v>0.62861617836742212</v>
      </c>
      <c r="O58" s="76">
        <f>IF($C58,E58/$C58,"-")</f>
        <v>0.98051409618573793</v>
      </c>
      <c r="P58" s="76">
        <f>IF($C58,F58/$C58,"-")</f>
        <v>0.61488852036115715</v>
      </c>
      <c r="Q58" s="76">
        <f>IF($C58,G58/$C58,"-")</f>
        <v>0</v>
      </c>
    </row>
    <row r="59" spans="1:17" ht="13.5" customHeight="1" x14ac:dyDescent="0.4"/>
    <row r="60" spans="1:17" ht="13.5" customHeight="1" x14ac:dyDescent="0.4">
      <c r="C60" s="66" t="s">
        <v>88</v>
      </c>
      <c r="D60" s="67"/>
      <c r="E60" s="67"/>
      <c r="F60" s="67"/>
      <c r="G60" s="68"/>
      <c r="H60" s="66" t="s">
        <v>89</v>
      </c>
      <c r="I60" s="67"/>
      <c r="J60" s="67"/>
      <c r="K60" s="67"/>
      <c r="L60" s="83" t="s">
        <v>37</v>
      </c>
      <c r="M60" s="66" t="s">
        <v>89</v>
      </c>
      <c r="N60" s="67"/>
      <c r="O60" s="67"/>
      <c r="P60" s="67"/>
      <c r="Q60" s="83" t="s">
        <v>80</v>
      </c>
    </row>
    <row r="61" spans="1:17" ht="13.5" customHeight="1" x14ac:dyDescent="0.4">
      <c r="B61" s="7" t="s">
        <v>88</v>
      </c>
      <c r="C61" s="69" t="s">
        <v>81</v>
      </c>
      <c r="D61" s="70" t="s">
        <v>82</v>
      </c>
      <c r="E61" s="71" t="s">
        <v>83</v>
      </c>
      <c r="F61" s="72" t="s">
        <v>84</v>
      </c>
      <c r="G61" s="73" t="s">
        <v>85</v>
      </c>
      <c r="H61" s="69" t="s">
        <v>81</v>
      </c>
      <c r="I61" s="70" t="s">
        <v>82</v>
      </c>
      <c r="J61" s="71" t="s">
        <v>83</v>
      </c>
      <c r="K61" s="72" t="s">
        <v>84</v>
      </c>
      <c r="L61" s="73" t="s">
        <v>85</v>
      </c>
      <c r="M61" s="69" t="s">
        <v>81</v>
      </c>
      <c r="N61" s="70" t="s">
        <v>82</v>
      </c>
      <c r="O61" s="71" t="s">
        <v>83</v>
      </c>
      <c r="P61" s="72" t="s">
        <v>84</v>
      </c>
      <c r="Q61" s="73" t="s">
        <v>85</v>
      </c>
    </row>
    <row r="62" spans="1:17" ht="13.5" customHeight="1" x14ac:dyDescent="0.4">
      <c r="B62" s="74">
        <f>B$54</f>
        <v>2025</v>
      </c>
      <c r="C62" s="75">
        <f>決算入力!D26</f>
        <v>0</v>
      </c>
      <c r="D62" s="75">
        <f>決算入力!G26</f>
        <v>0</v>
      </c>
      <c r="E62" s="75">
        <f>決算入力!J26</f>
        <v>0</v>
      </c>
      <c r="F62" s="75">
        <f>決算入力!M26</f>
        <v>0</v>
      </c>
      <c r="G62" s="75">
        <f>決算入力!P26</f>
        <v>0</v>
      </c>
      <c r="H62" s="16" t="s">
        <v>86</v>
      </c>
      <c r="I62" s="76" t="str">
        <f>IF(C62,D62/C62,"-")</f>
        <v>-</v>
      </c>
      <c r="J62" s="76" t="str">
        <f>IF(D62,E62/D62,"-")</f>
        <v>-</v>
      </c>
      <c r="K62" s="76" t="str">
        <f>IF(E62,F62/E62,"-")</f>
        <v>-</v>
      </c>
      <c r="L62" s="76" t="str">
        <f>IF(F62,G62/F62,"-")</f>
        <v>-</v>
      </c>
      <c r="M62" s="76" t="str">
        <f>IF($C62,C62/$C62,"-")</f>
        <v>-</v>
      </c>
      <c r="N62" s="76" t="str">
        <f>IF($C62,D62/$C62,"-")</f>
        <v>-</v>
      </c>
      <c r="O62" s="76" t="str">
        <f>IF($C62,E62/$C62,"-")</f>
        <v>-</v>
      </c>
      <c r="P62" s="76" t="str">
        <f>IF($C62,F62/$C62,"-")</f>
        <v>-</v>
      </c>
      <c r="Q62" s="76" t="str">
        <f>IF($C62,G62/$C62,"-")</f>
        <v>-</v>
      </c>
    </row>
    <row r="63" spans="1:17" ht="13.5" customHeight="1" x14ac:dyDescent="0.4"/>
    <row r="64" spans="1:17" ht="13.5" customHeight="1" x14ac:dyDescent="0.4">
      <c r="C64" s="66" t="s">
        <v>16</v>
      </c>
      <c r="D64" s="67"/>
      <c r="E64" s="67"/>
      <c r="F64" s="67"/>
      <c r="G64" s="68"/>
      <c r="H64" s="66" t="s">
        <v>90</v>
      </c>
      <c r="I64" s="67"/>
      <c r="J64" s="67"/>
      <c r="K64" s="67"/>
      <c r="L64" s="83" t="s">
        <v>37</v>
      </c>
      <c r="M64" s="66" t="s">
        <v>90</v>
      </c>
      <c r="N64" s="67"/>
      <c r="O64" s="67"/>
      <c r="P64" s="67"/>
      <c r="Q64" s="83" t="s">
        <v>80</v>
      </c>
    </row>
    <row r="65" spans="2:17" ht="13.5" customHeight="1" x14ac:dyDescent="0.4">
      <c r="B65" s="7" t="s">
        <v>16</v>
      </c>
      <c r="C65" s="69" t="s">
        <v>81</v>
      </c>
      <c r="D65" s="70" t="s">
        <v>82</v>
      </c>
      <c r="E65" s="71" t="s">
        <v>83</v>
      </c>
      <c r="F65" s="72" t="s">
        <v>84</v>
      </c>
      <c r="G65" s="73" t="s">
        <v>85</v>
      </c>
      <c r="H65" s="69" t="s">
        <v>81</v>
      </c>
      <c r="I65" s="70" t="s">
        <v>82</v>
      </c>
      <c r="J65" s="71" t="s">
        <v>83</v>
      </c>
      <c r="K65" s="72" t="s">
        <v>84</v>
      </c>
      <c r="L65" s="73" t="s">
        <v>85</v>
      </c>
      <c r="M65" s="69" t="s">
        <v>81</v>
      </c>
      <c r="N65" s="70" t="s">
        <v>82</v>
      </c>
      <c r="O65" s="71" t="s">
        <v>83</v>
      </c>
      <c r="P65" s="72" t="s">
        <v>84</v>
      </c>
      <c r="Q65" s="73" t="s">
        <v>85</v>
      </c>
    </row>
    <row r="66" spans="2:17" ht="13.5" customHeight="1" x14ac:dyDescent="0.4">
      <c r="B66" s="74">
        <f>B$54</f>
        <v>2025</v>
      </c>
      <c r="C66" s="75">
        <f>D13</f>
        <v>68468</v>
      </c>
      <c r="D66" s="75">
        <f>G13</f>
        <v>68468</v>
      </c>
      <c r="E66" s="75">
        <f>J13</f>
        <v>68468</v>
      </c>
      <c r="F66" s="75">
        <f>M13</f>
        <v>68468</v>
      </c>
      <c r="G66" s="75">
        <f>P13</f>
        <v>68468</v>
      </c>
      <c r="H66" s="16" t="s">
        <v>86</v>
      </c>
      <c r="I66" s="76">
        <f>IF(C66,D66/C66,"-")</f>
        <v>1</v>
      </c>
      <c r="J66" s="76">
        <f>IF(D66,E66/D66,"-")</f>
        <v>1</v>
      </c>
      <c r="K66" s="76">
        <f>IF(E66,F66/E66,"-")</f>
        <v>1</v>
      </c>
      <c r="L66" s="76">
        <f>IF(F66,G66/F66,"-")</f>
        <v>1</v>
      </c>
      <c r="M66" s="76">
        <f>IF($C66,C66/$C66,"-")</f>
        <v>1</v>
      </c>
      <c r="N66" s="76">
        <f>IF($C66,D66/$C66,"-")</f>
        <v>1</v>
      </c>
      <c r="O66" s="76">
        <f>IF($C66,E66/$C66,"-")</f>
        <v>1</v>
      </c>
      <c r="P66" s="76">
        <f>IF($C66,F66/$C66,"-")</f>
        <v>1</v>
      </c>
      <c r="Q66" s="76">
        <f>IF($C66,G66/$C66,"-")</f>
        <v>1</v>
      </c>
    </row>
    <row r="67" spans="2:17" ht="13.5" customHeight="1" x14ac:dyDescent="0.4"/>
    <row r="68" spans="2:17" ht="13.5" customHeight="1" x14ac:dyDescent="0.4">
      <c r="C68" s="66" t="s">
        <v>91</v>
      </c>
      <c r="D68" s="67"/>
      <c r="E68" s="84"/>
      <c r="F68" s="84"/>
      <c r="G68" s="68"/>
      <c r="H68" s="66" t="s">
        <v>92</v>
      </c>
      <c r="I68" s="67"/>
      <c r="J68" s="67"/>
      <c r="K68" s="67"/>
      <c r="L68" s="83" t="s">
        <v>37</v>
      </c>
      <c r="M68" s="66" t="s">
        <v>92</v>
      </c>
      <c r="N68" s="67"/>
      <c r="O68" s="67"/>
      <c r="P68" s="67"/>
      <c r="Q68" s="83" t="s">
        <v>80</v>
      </c>
    </row>
    <row r="69" spans="2:17" ht="13.5" customHeight="1" x14ac:dyDescent="0.4">
      <c r="B69" s="7" t="s">
        <v>91</v>
      </c>
      <c r="C69" s="69" t="s">
        <v>81</v>
      </c>
      <c r="D69" s="70" t="s">
        <v>82</v>
      </c>
      <c r="E69" s="71" t="s">
        <v>83</v>
      </c>
      <c r="F69" s="72" t="s">
        <v>84</v>
      </c>
      <c r="G69" s="73" t="s">
        <v>85</v>
      </c>
      <c r="H69" s="69" t="s">
        <v>81</v>
      </c>
      <c r="I69" s="70" t="s">
        <v>82</v>
      </c>
      <c r="J69" s="71" t="s">
        <v>83</v>
      </c>
      <c r="K69" s="72" t="s">
        <v>84</v>
      </c>
      <c r="L69" s="73" t="s">
        <v>85</v>
      </c>
      <c r="M69" s="69" t="s">
        <v>81</v>
      </c>
      <c r="N69" s="70" t="s">
        <v>82</v>
      </c>
      <c r="O69" s="71" t="s">
        <v>83</v>
      </c>
      <c r="P69" s="72" t="s">
        <v>84</v>
      </c>
      <c r="Q69" s="73" t="s">
        <v>85</v>
      </c>
    </row>
    <row r="70" spans="2:17" ht="13.5" customHeight="1" x14ac:dyDescent="0.4">
      <c r="B70" s="74">
        <f>B$54</f>
        <v>2025</v>
      </c>
      <c r="C70" s="75">
        <f>C62*C66/1000</f>
        <v>0</v>
      </c>
      <c r="D70" s="75">
        <f>D62*D66/1000</f>
        <v>0</v>
      </c>
      <c r="E70" s="75">
        <f>E62*E66/1000</f>
        <v>0</v>
      </c>
      <c r="F70" s="75">
        <f>F62*F66/1000</f>
        <v>0</v>
      </c>
      <c r="G70" s="75">
        <f>G62*G66/1000</f>
        <v>0</v>
      </c>
      <c r="H70" s="16" t="s">
        <v>86</v>
      </c>
      <c r="I70" s="76">
        <f>IF(C70,D70/C70,0)</f>
        <v>0</v>
      </c>
      <c r="J70" s="76">
        <f>IF(D70,E70/D70,0)</f>
        <v>0</v>
      </c>
      <c r="K70" s="76">
        <f>IF(E70,F70/E70,0)</f>
        <v>0</v>
      </c>
      <c r="L70" s="76">
        <f>IF(F70,G70/F70,0)</f>
        <v>0</v>
      </c>
      <c r="M70" s="76">
        <f>IF($C70,C70/$C70,0)</f>
        <v>0</v>
      </c>
      <c r="N70" s="76">
        <f>IF($C70,D70/$C70,0)</f>
        <v>0</v>
      </c>
      <c r="O70" s="76">
        <f>IF($C70,E70/$C70,0)</f>
        <v>0</v>
      </c>
      <c r="P70" s="76">
        <f>IF($C70,F70/$C70,0)</f>
        <v>0</v>
      </c>
      <c r="Q70" s="76">
        <f>IF($C70,G70/$C70,0)</f>
        <v>0</v>
      </c>
    </row>
    <row r="71" spans="2:17" ht="13.5" customHeight="1" x14ac:dyDescent="0.4"/>
    <row r="72" spans="2:17" ht="13.5" customHeight="1" x14ac:dyDescent="0.4">
      <c r="C72" s="66" t="s">
        <v>93</v>
      </c>
      <c r="D72" s="67"/>
      <c r="E72" s="84" t="s">
        <v>94</v>
      </c>
      <c r="F72" s="67"/>
      <c r="G72" s="68"/>
      <c r="H72" s="66" t="s">
        <v>95</v>
      </c>
      <c r="I72" s="67"/>
      <c r="J72" s="67"/>
      <c r="K72" s="67"/>
      <c r="L72" s="83" t="s">
        <v>37</v>
      </c>
      <c r="M72" s="66" t="s">
        <v>95</v>
      </c>
      <c r="N72" s="67"/>
      <c r="O72" s="67"/>
      <c r="P72" s="67"/>
      <c r="Q72" s="83" t="s">
        <v>80</v>
      </c>
    </row>
    <row r="73" spans="2:17" ht="13.5" customHeight="1" x14ac:dyDescent="0.4">
      <c r="B73" s="7" t="s">
        <v>93</v>
      </c>
      <c r="C73" s="69" t="s">
        <v>81</v>
      </c>
      <c r="D73" s="70" t="s">
        <v>82</v>
      </c>
      <c r="E73" s="71" t="s">
        <v>83</v>
      </c>
      <c r="F73" s="72" t="s">
        <v>84</v>
      </c>
      <c r="G73" s="73" t="s">
        <v>85</v>
      </c>
      <c r="H73" s="69" t="s">
        <v>81</v>
      </c>
      <c r="I73" s="70" t="s">
        <v>82</v>
      </c>
      <c r="J73" s="71" t="s">
        <v>83</v>
      </c>
      <c r="K73" s="72" t="s">
        <v>84</v>
      </c>
      <c r="L73" s="73" t="s">
        <v>85</v>
      </c>
      <c r="M73" s="69" t="s">
        <v>81</v>
      </c>
      <c r="N73" s="70" t="s">
        <v>82</v>
      </c>
      <c r="O73" s="71" t="s">
        <v>83</v>
      </c>
      <c r="P73" s="72" t="s">
        <v>84</v>
      </c>
      <c r="Q73" s="73" t="s">
        <v>85</v>
      </c>
    </row>
    <row r="74" spans="2:17" ht="13.5" customHeight="1" x14ac:dyDescent="0.4">
      <c r="B74" s="74">
        <f>B$54</f>
        <v>2025</v>
      </c>
      <c r="C74" s="85">
        <f>IF(C66,(C58*0.7)*1000/C66,0)</f>
        <v>221.93725536016822</v>
      </c>
      <c r="D74" s="85">
        <f>IF(D66,(D58*0.7)*1000/D66,0)</f>
        <v>139.51334930186363</v>
      </c>
      <c r="E74" s="85">
        <f>IF(E66,(E58*0.7)*1000/E66,0)</f>
        <v>217.61260734941868</v>
      </c>
      <c r="F74" s="85">
        <f>IF(F66,(F58*0.7)*1000/F66,0)</f>
        <v>136.46667056143013</v>
      </c>
      <c r="G74" s="85">
        <f>IF(G66,(G58*0.7)*1000/G66,0)</f>
        <v>0</v>
      </c>
      <c r="H74" s="16" t="s">
        <v>86</v>
      </c>
      <c r="I74" s="76">
        <f>IF(C74,D74/C74,0)</f>
        <v>0.62861617836742212</v>
      </c>
      <c r="J74" s="76">
        <f>IF(D74,E74/D74,0)</f>
        <v>1.5597977429283307</v>
      </c>
      <c r="K74" s="76">
        <f>IF(E74,F74/E74,0)</f>
        <v>0.62710829222457132</v>
      </c>
      <c r="L74" s="76">
        <f>IF(F74,G74/F74,0)</f>
        <v>0</v>
      </c>
      <c r="M74" s="76">
        <f>IF($C74,C74/$C74,0)</f>
        <v>1</v>
      </c>
      <c r="N74" s="76">
        <f>IF($C74,D74/$C74,0)</f>
        <v>0.62861617836742212</v>
      </c>
      <c r="O74" s="76">
        <f>IF($C74,E74/$C74,0)</f>
        <v>0.98051409618573804</v>
      </c>
      <c r="P74" s="76">
        <f>IF($C74,F74/$C74,0)</f>
        <v>0.61488852036115715</v>
      </c>
      <c r="Q74" s="76">
        <f>IF($C74,G74/$C74,0)</f>
        <v>0</v>
      </c>
    </row>
    <row r="75" spans="2:17" ht="13.5" customHeight="1" x14ac:dyDescent="0.4"/>
    <row r="76" spans="2:17" ht="13.5" customHeight="1" x14ac:dyDescent="0.4">
      <c r="C76" s="66" t="s">
        <v>96</v>
      </c>
      <c r="D76" s="67"/>
      <c r="E76" s="67"/>
      <c r="F76" s="67"/>
      <c r="G76" s="68"/>
      <c r="H76" s="66" t="s">
        <v>97</v>
      </c>
      <c r="I76" s="67"/>
      <c r="J76" s="67"/>
      <c r="K76" s="67"/>
      <c r="L76" s="83" t="s">
        <v>37</v>
      </c>
      <c r="M76" s="66" t="s">
        <v>97</v>
      </c>
      <c r="N76" s="67"/>
      <c r="O76" s="67"/>
      <c r="P76" s="67"/>
      <c r="Q76" s="83" t="s">
        <v>80</v>
      </c>
    </row>
    <row r="77" spans="2:17" ht="13.5" customHeight="1" x14ac:dyDescent="0.4">
      <c r="B77" s="7" t="s">
        <v>96</v>
      </c>
      <c r="C77" s="69" t="s">
        <v>81</v>
      </c>
      <c r="D77" s="70" t="s">
        <v>82</v>
      </c>
      <c r="E77" s="71" t="s">
        <v>83</v>
      </c>
      <c r="F77" s="72" t="s">
        <v>84</v>
      </c>
      <c r="G77" s="73" t="s">
        <v>85</v>
      </c>
      <c r="H77" s="69" t="s">
        <v>81</v>
      </c>
      <c r="I77" s="70" t="s">
        <v>82</v>
      </c>
      <c r="J77" s="71" t="s">
        <v>83</v>
      </c>
      <c r="K77" s="72" t="s">
        <v>84</v>
      </c>
      <c r="L77" s="73" t="s">
        <v>85</v>
      </c>
      <c r="M77" s="69" t="s">
        <v>81</v>
      </c>
      <c r="N77" s="70" t="s">
        <v>82</v>
      </c>
      <c r="O77" s="71" t="s">
        <v>83</v>
      </c>
      <c r="P77" s="72" t="s">
        <v>84</v>
      </c>
      <c r="Q77" s="73" t="s">
        <v>85</v>
      </c>
    </row>
    <row r="78" spans="2:17" ht="13.5" customHeight="1" x14ac:dyDescent="0.4">
      <c r="B78" s="74">
        <f>B$54</f>
        <v>2025</v>
      </c>
      <c r="C78" s="75">
        <f>D22</f>
        <v>89463</v>
      </c>
      <c r="D78" s="75">
        <f>G22</f>
        <v>79917</v>
      </c>
      <c r="E78" s="75">
        <f>J22</f>
        <v>94691</v>
      </c>
      <c r="F78" s="75">
        <f>M22</f>
        <v>56610</v>
      </c>
      <c r="G78" s="75" t="e">
        <f>P22</f>
        <v>#VALUE!</v>
      </c>
      <c r="H78" s="16" t="s">
        <v>86</v>
      </c>
      <c r="I78" s="76">
        <f>IF(C78,D78/C78,0)</f>
        <v>0.89329667013178637</v>
      </c>
      <c r="J78" s="76">
        <f>IF(D78,E78/D78,0)</f>
        <v>1.1848667993042783</v>
      </c>
      <c r="K78" s="76">
        <f>IF(E78,F78/E78,0)</f>
        <v>0.59783928778870221</v>
      </c>
      <c r="L78" s="76" t="e">
        <f>IF(F78,G78/F78,0)</f>
        <v>#VALUE!</v>
      </c>
      <c r="M78" s="76">
        <f>IF($C78,C78/$C78,0)</f>
        <v>1</v>
      </c>
      <c r="N78" s="76">
        <f>IF($C78,D78/$C78,0)</f>
        <v>0.89329667013178637</v>
      </c>
      <c r="O78" s="76">
        <f>IF($C78,E78/$C78,0)</f>
        <v>1.0584375663682193</v>
      </c>
      <c r="P78" s="76">
        <f>IF($C78,F78/$C78,0)</f>
        <v>0.63277556084638342</v>
      </c>
      <c r="Q78" s="76" t="e">
        <f>IF($C78,G78/$C78,0)</f>
        <v>#VALUE!</v>
      </c>
    </row>
    <row r="79" spans="2:17" ht="13.5" customHeight="1" x14ac:dyDescent="0.4"/>
    <row r="80" spans="2:17" ht="13.5" customHeight="1" x14ac:dyDescent="0.4">
      <c r="C80" s="66" t="s">
        <v>10</v>
      </c>
      <c r="D80" s="67"/>
      <c r="E80" s="67"/>
      <c r="F80" s="67"/>
      <c r="G80" s="68"/>
      <c r="H80" s="66" t="s">
        <v>98</v>
      </c>
      <c r="I80" s="67"/>
      <c r="J80" s="67"/>
      <c r="K80" s="67"/>
      <c r="L80" s="83" t="s">
        <v>37</v>
      </c>
      <c r="M80" s="66" t="s">
        <v>12</v>
      </c>
      <c r="N80" s="67"/>
      <c r="O80" s="67"/>
      <c r="P80" s="67"/>
      <c r="Q80" s="83" t="s">
        <v>80</v>
      </c>
    </row>
    <row r="81" spans="2:18" ht="13.5" customHeight="1" x14ac:dyDescent="0.4">
      <c r="B81" s="7" t="s">
        <v>99</v>
      </c>
      <c r="C81" s="69" t="s">
        <v>81</v>
      </c>
      <c r="D81" s="70" t="s">
        <v>82</v>
      </c>
      <c r="E81" s="71" t="s">
        <v>83</v>
      </c>
      <c r="F81" s="72" t="s">
        <v>84</v>
      </c>
      <c r="G81" s="73" t="s">
        <v>85</v>
      </c>
      <c r="H81" s="69" t="s">
        <v>81</v>
      </c>
      <c r="I81" s="70" t="s">
        <v>82</v>
      </c>
      <c r="J81" s="71" t="s">
        <v>83</v>
      </c>
      <c r="K81" s="72" t="s">
        <v>84</v>
      </c>
      <c r="L81" s="73" t="s">
        <v>85</v>
      </c>
      <c r="M81" s="69" t="s">
        <v>81</v>
      </c>
      <c r="N81" s="70" t="s">
        <v>82</v>
      </c>
      <c r="O81" s="71" t="s">
        <v>83</v>
      </c>
      <c r="P81" s="72" t="s">
        <v>84</v>
      </c>
      <c r="Q81" s="73" t="s">
        <v>85</v>
      </c>
    </row>
    <row r="82" spans="2:18" ht="13.5" customHeight="1" x14ac:dyDescent="0.4">
      <c r="B82" s="74">
        <f>B$54</f>
        <v>2025</v>
      </c>
      <c r="C82" s="75">
        <f>D6</f>
        <v>180537</v>
      </c>
      <c r="D82" s="75">
        <f>G6</f>
        <v>193172</v>
      </c>
      <c r="E82" s="75">
        <f>J6</f>
        <v>208740</v>
      </c>
      <c r="F82" s="75">
        <f>M6</f>
        <v>203461</v>
      </c>
      <c r="G82" s="75">
        <f>P6</f>
        <v>0</v>
      </c>
      <c r="H82" s="75">
        <f>D7</f>
        <v>158033</v>
      </c>
      <c r="I82" s="75">
        <f>G7</f>
        <v>110749</v>
      </c>
      <c r="J82" s="75">
        <f>J7</f>
        <v>123850</v>
      </c>
      <c r="K82" s="75">
        <f>M7</f>
        <v>127668</v>
      </c>
      <c r="L82" s="75">
        <f>P7</f>
        <v>0</v>
      </c>
      <c r="M82" s="75">
        <f>D8</f>
        <v>138726</v>
      </c>
      <c r="N82" s="75">
        <f>G8</f>
        <v>97903</v>
      </c>
      <c r="O82" s="75">
        <f>J8</f>
        <v>105228</v>
      </c>
      <c r="P82" s="75">
        <f>M8</f>
        <v>116602</v>
      </c>
      <c r="Q82" s="75">
        <f>P8</f>
        <v>0</v>
      </c>
    </row>
    <row r="83" spans="2:18" ht="13.5" customHeight="1" x14ac:dyDescent="0.4"/>
    <row r="84" spans="2:18" ht="13.5" customHeight="1" x14ac:dyDescent="0.4">
      <c r="C84" s="66" t="s">
        <v>100</v>
      </c>
      <c r="D84" s="67"/>
      <c r="E84" s="67"/>
      <c r="F84" s="67"/>
      <c r="G84" s="68"/>
      <c r="H84" s="66" t="s">
        <v>101</v>
      </c>
      <c r="I84" s="67"/>
      <c r="J84" s="67"/>
      <c r="K84" s="67"/>
      <c r="L84" s="83" t="s">
        <v>37</v>
      </c>
      <c r="M84" s="66" t="s">
        <v>102</v>
      </c>
      <c r="N84" s="67"/>
      <c r="O84" s="67"/>
      <c r="P84" s="67"/>
      <c r="Q84" s="83" t="s">
        <v>80</v>
      </c>
    </row>
    <row r="85" spans="2:18" ht="13.5" customHeight="1" x14ac:dyDescent="0.4">
      <c r="B85" s="7" t="s">
        <v>103</v>
      </c>
      <c r="C85" s="69" t="s">
        <v>81</v>
      </c>
      <c r="D85" s="70" t="s">
        <v>82</v>
      </c>
      <c r="E85" s="71" t="s">
        <v>83</v>
      </c>
      <c r="F85" s="72" t="s">
        <v>84</v>
      </c>
      <c r="G85" s="73" t="s">
        <v>85</v>
      </c>
      <c r="H85" s="69" t="s">
        <v>81</v>
      </c>
      <c r="I85" s="70" t="s">
        <v>82</v>
      </c>
      <c r="J85" s="71" t="s">
        <v>83</v>
      </c>
      <c r="K85" s="72" t="s">
        <v>84</v>
      </c>
      <c r="L85" s="73" t="s">
        <v>85</v>
      </c>
      <c r="M85" s="69" t="s">
        <v>81</v>
      </c>
      <c r="N85" s="70" t="s">
        <v>82</v>
      </c>
      <c r="O85" s="71" t="s">
        <v>83</v>
      </c>
      <c r="P85" s="72" t="s">
        <v>84</v>
      </c>
      <c r="Q85" s="73" t="s">
        <v>85</v>
      </c>
    </row>
    <row r="86" spans="2:18" ht="13.5" customHeight="1" x14ac:dyDescent="0.4">
      <c r="B86" s="74">
        <f>B$54</f>
        <v>2025</v>
      </c>
      <c r="C86" s="76">
        <f>H82/C54</f>
        <v>0.46676472586252221</v>
      </c>
      <c r="D86" s="76">
        <f>I82/D54</f>
        <v>0.36440061726567102</v>
      </c>
      <c r="E86" s="76">
        <f>J82/E54</f>
        <v>0.37238040831053248</v>
      </c>
      <c r="F86" s="76">
        <f>K82/F54</f>
        <v>0.3855536663958759</v>
      </c>
      <c r="G86" s="76" t="e">
        <f>L82/G54</f>
        <v>#DIV/0!</v>
      </c>
      <c r="H86" s="76">
        <f>M82/C54</f>
        <v>0.40973975916425209</v>
      </c>
      <c r="I86" s="76">
        <f>N82/D54</f>
        <v>0.32213305431345646</v>
      </c>
      <c r="J86" s="76">
        <f>O82/E54</f>
        <v>0.31638954869358671</v>
      </c>
      <c r="K86" s="76">
        <f>P82/F54</f>
        <v>0.35213466654989445</v>
      </c>
      <c r="L86" s="76" t="e">
        <f>Q82/G54</f>
        <v>#DIV/0!</v>
      </c>
      <c r="M86" s="76">
        <f>C58/C54</f>
        <v>6.4116536856375764E-2</v>
      </c>
      <c r="N86" s="76">
        <f>D58/D54</f>
        <v>4.4899825941609829E-2</v>
      </c>
      <c r="O86" s="76">
        <f>E58/E54</f>
        <v>6.3997714904236447E-2</v>
      </c>
      <c r="P86" s="76">
        <f>F58/F54</f>
        <v>4.031057382470276E-2</v>
      </c>
      <c r="Q86" s="76" t="e">
        <f>G58/G54</f>
        <v>#DIV/0!</v>
      </c>
    </row>
    <row r="87" spans="2:18" ht="13.5" customHeight="1" x14ac:dyDescent="0.4"/>
    <row r="88" spans="2:18" ht="13.5" customHeight="1" x14ac:dyDescent="0.4">
      <c r="C88" s="66" t="s">
        <v>104</v>
      </c>
      <c r="D88" s="67"/>
      <c r="E88" s="67"/>
      <c r="F88" s="67"/>
      <c r="G88" s="68"/>
      <c r="H88" s="66" t="s">
        <v>105</v>
      </c>
      <c r="I88" s="67"/>
      <c r="J88" s="67"/>
      <c r="K88" s="67"/>
      <c r="L88" s="83"/>
      <c r="M88" s="66" t="s">
        <v>106</v>
      </c>
      <c r="N88" s="67"/>
      <c r="O88" s="67"/>
      <c r="P88" s="67"/>
      <c r="Q88" s="83"/>
    </row>
    <row r="89" spans="2:18" ht="13.5" customHeight="1" x14ac:dyDescent="0.4">
      <c r="B89" s="7" t="s">
        <v>107</v>
      </c>
      <c r="C89" s="69" t="s">
        <v>81</v>
      </c>
      <c r="D89" s="70" t="s">
        <v>82</v>
      </c>
      <c r="E89" s="71" t="s">
        <v>83</v>
      </c>
      <c r="F89" s="72" t="s">
        <v>84</v>
      </c>
      <c r="G89" s="73" t="s">
        <v>85</v>
      </c>
      <c r="H89" s="69" t="s">
        <v>81</v>
      </c>
      <c r="I89" s="70" t="s">
        <v>82</v>
      </c>
      <c r="J89" s="71" t="s">
        <v>83</v>
      </c>
      <c r="K89" s="72" t="s">
        <v>84</v>
      </c>
      <c r="L89" s="73" t="s">
        <v>85</v>
      </c>
      <c r="M89" s="69" t="s">
        <v>81</v>
      </c>
      <c r="N89" s="70" t="s">
        <v>82</v>
      </c>
      <c r="O89" s="71" t="s">
        <v>83</v>
      </c>
      <c r="P89" s="72" t="s">
        <v>84</v>
      </c>
      <c r="Q89" s="73" t="s">
        <v>85</v>
      </c>
    </row>
    <row r="90" spans="2:18" ht="13.5" customHeight="1" x14ac:dyDescent="0.4">
      <c r="B90" s="74">
        <f>B$54</f>
        <v>2025</v>
      </c>
      <c r="C90" s="75">
        <f>IF(D13,C17/D13*1000,0)</f>
        <v>5210.3902553017469</v>
      </c>
      <c r="D90" s="75">
        <f>IF(G13,F17/G13*1000,0)</f>
        <v>5390.1968802944439</v>
      </c>
      <c r="E90" s="75">
        <f>IF(J13,I17/J13*1000,0)</f>
        <v>5779.9702050592978</v>
      </c>
      <c r="F90" s="75">
        <f>IF(M13,L17/M13*1000,0)</f>
        <v>5517.4826196179238</v>
      </c>
      <c r="G90" s="75" t="e">
        <f>IF(P13,O17/P13*1000,0)</f>
        <v>#VALUE!</v>
      </c>
      <c r="H90" s="75">
        <f>D18</f>
        <v>3522.4776537944736</v>
      </c>
      <c r="I90" s="75">
        <f>G18</f>
        <v>3574.8086697435301</v>
      </c>
      <c r="J90" s="75">
        <f>J18</f>
        <v>3842.9047146112052</v>
      </c>
      <c r="K90" s="75">
        <f>M18</f>
        <v>3981.3927674241982</v>
      </c>
      <c r="L90" s="75" t="e">
        <f>P18</f>
        <v>#VALUE!</v>
      </c>
      <c r="M90" s="75">
        <f>C90-H90</f>
        <v>1687.9126015072734</v>
      </c>
      <c r="N90" s="75">
        <f>D90-I90</f>
        <v>1815.3882105509138</v>
      </c>
      <c r="O90" s="75">
        <f>E90-J90</f>
        <v>1937.0654904480925</v>
      </c>
      <c r="P90" s="75">
        <f>F90-K90</f>
        <v>1536.0898521937256</v>
      </c>
      <c r="Q90" s="75" t="e">
        <f>G90-L90</f>
        <v>#VALUE!</v>
      </c>
    </row>
    <row r="91" spans="2:18" ht="13.5" customHeight="1" x14ac:dyDescent="0.4"/>
    <row r="92" spans="2:18" ht="13.5" customHeight="1" x14ac:dyDescent="0.4">
      <c r="C92" s="66" t="s">
        <v>108</v>
      </c>
      <c r="D92" s="67"/>
      <c r="E92" s="84" t="s">
        <v>94</v>
      </c>
      <c r="F92" s="67"/>
      <c r="G92" s="68"/>
      <c r="H92" s="66" t="s">
        <v>109</v>
      </c>
      <c r="I92" s="67"/>
      <c r="J92" s="84" t="s">
        <v>94</v>
      </c>
      <c r="K92" s="67"/>
      <c r="L92" s="83"/>
      <c r="M92" s="66" t="s">
        <v>110</v>
      </c>
      <c r="N92" s="67"/>
      <c r="O92" s="67"/>
      <c r="P92" s="67"/>
      <c r="Q92" s="83"/>
    </row>
    <row r="93" spans="2:18" ht="13.5" customHeight="1" x14ac:dyDescent="0.4">
      <c r="B93" s="7" t="s">
        <v>111</v>
      </c>
      <c r="C93" s="69" t="s">
        <v>81</v>
      </c>
      <c r="D93" s="70" t="s">
        <v>82</v>
      </c>
      <c r="E93" s="71" t="s">
        <v>83</v>
      </c>
      <c r="F93" s="72" t="s">
        <v>84</v>
      </c>
      <c r="G93" s="73" t="s">
        <v>85</v>
      </c>
      <c r="H93" s="69" t="s">
        <v>81</v>
      </c>
      <c r="I93" s="70" t="s">
        <v>82</v>
      </c>
      <c r="J93" s="71" t="s">
        <v>83</v>
      </c>
      <c r="K93" s="72" t="s">
        <v>84</v>
      </c>
      <c r="L93" s="73" t="s">
        <v>85</v>
      </c>
      <c r="M93" s="69" t="s">
        <v>81</v>
      </c>
      <c r="N93" s="70" t="s">
        <v>82</v>
      </c>
      <c r="O93" s="71" t="s">
        <v>83</v>
      </c>
      <c r="P93" s="72" t="s">
        <v>84</v>
      </c>
      <c r="Q93" s="73" t="s">
        <v>85</v>
      </c>
    </row>
    <row r="94" spans="2:18" ht="13.5" customHeight="1" x14ac:dyDescent="0.4">
      <c r="B94" s="74">
        <f>B$54</f>
        <v>2025</v>
      </c>
      <c r="C94" s="76">
        <f>IF(C90,C74/C90,0)</f>
        <v>4.2595130975907156E-2</v>
      </c>
      <c r="D94" s="76">
        <f>IF(D90,D74/D90,0)</f>
        <v>2.5882792855284834E-2</v>
      </c>
      <c r="E94" s="76">
        <f>IF(E90,E74/E90,0)</f>
        <v>3.764943410243516E-2</v>
      </c>
      <c r="F94" s="76">
        <f>IF(F90,F74/F90,0)</f>
        <v>2.473350257166378E-2</v>
      </c>
      <c r="G94" s="76" t="e">
        <f>IF(G90,G74/G90,0)</f>
        <v>#VALUE!</v>
      </c>
      <c r="H94" s="76">
        <f>IF(H90,C74/H90,0)</f>
        <v>6.3006008035592101E-2</v>
      </c>
      <c r="I94" s="76">
        <f>IF(I90,D74/I90,0)</f>
        <v>3.9026801764994269E-2</v>
      </c>
      <c r="J94" s="76">
        <f>IF(J90,E74/J90,0)</f>
        <v>5.6627115036713839E-2</v>
      </c>
      <c r="K94" s="76">
        <f>IF(K90,F74/K90,0)</f>
        <v>3.4276113544486751E-2</v>
      </c>
      <c r="L94" s="76" t="e">
        <f>IF(L90,G74/L90,0)</f>
        <v>#VALUE!</v>
      </c>
      <c r="M94" s="76">
        <f>IF(C90,H90/C90,0)</f>
        <v>0.67604871827215518</v>
      </c>
      <c r="N94" s="76">
        <f>IF(D90,I90/D90,0)</f>
        <v>0.6632055839764156</v>
      </c>
      <c r="O94" s="76">
        <f>IF(E90,J90/E90,0)</f>
        <v>0.66486583464521165</v>
      </c>
      <c r="P94" s="76">
        <f>IF(F90,K90/F90,0)</f>
        <v>0.72159588745562786</v>
      </c>
      <c r="Q94" s="76" t="e">
        <f>IF(G90,L90/G90,0)</f>
        <v>#VALUE!</v>
      </c>
      <c r="R94" s="81"/>
    </row>
    <row r="95" spans="2:18" ht="13.5" customHeight="1" x14ac:dyDescent="0.4"/>
    <row r="96" spans="2:18" ht="13.5" customHeight="1" x14ac:dyDescent="0.4">
      <c r="C96" s="66" t="s">
        <v>30</v>
      </c>
      <c r="D96" s="67"/>
      <c r="E96" s="67"/>
      <c r="F96" s="67"/>
      <c r="G96" s="68"/>
      <c r="H96" s="66" t="s">
        <v>31</v>
      </c>
      <c r="I96" s="67"/>
      <c r="J96" s="67"/>
      <c r="K96" s="67"/>
      <c r="L96" s="83"/>
      <c r="M96" s="66" t="s">
        <v>32</v>
      </c>
      <c r="N96" s="67"/>
      <c r="O96" s="67"/>
      <c r="P96" s="67"/>
      <c r="Q96" s="83"/>
    </row>
    <row r="97" spans="2:17" ht="13.5" customHeight="1" x14ac:dyDescent="0.4">
      <c r="B97" s="7" t="s">
        <v>32</v>
      </c>
      <c r="C97" s="69" t="s">
        <v>81</v>
      </c>
      <c r="D97" s="70" t="s">
        <v>82</v>
      </c>
      <c r="E97" s="71" t="s">
        <v>83</v>
      </c>
      <c r="F97" s="72" t="s">
        <v>84</v>
      </c>
      <c r="G97" s="73" t="s">
        <v>85</v>
      </c>
      <c r="H97" s="69" t="s">
        <v>81</v>
      </c>
      <c r="I97" s="70" t="s">
        <v>82</v>
      </c>
      <c r="J97" s="71" t="s">
        <v>83</v>
      </c>
      <c r="K97" s="72" t="s">
        <v>84</v>
      </c>
      <c r="L97" s="73" t="s">
        <v>85</v>
      </c>
      <c r="M97" s="69" t="s">
        <v>81</v>
      </c>
      <c r="N97" s="70" t="s">
        <v>82</v>
      </c>
      <c r="O97" s="71" t="s">
        <v>83</v>
      </c>
      <c r="P97" s="72" t="s">
        <v>84</v>
      </c>
      <c r="Q97" s="73" t="s">
        <v>85</v>
      </c>
    </row>
    <row r="98" spans="2:17" ht="13.5" customHeight="1" x14ac:dyDescent="0.4">
      <c r="B98" s="74">
        <f>B$54</f>
        <v>2025</v>
      </c>
      <c r="C98" s="75">
        <f>決算入力!C25</f>
        <v>2641.8582403458549</v>
      </c>
      <c r="D98" s="75">
        <f>決算入力!F25</f>
        <v>2502.3660688204709</v>
      </c>
      <c r="E98" s="75">
        <f>決算入力!I25</f>
        <v>2690.0333002278435</v>
      </c>
      <c r="F98" s="75">
        <f>決算入力!L25</f>
        <v>2986.0445755681485</v>
      </c>
      <c r="G98" s="75" t="e">
        <f>決算入力!O25</f>
        <v>#VALUE!</v>
      </c>
      <c r="H98" s="75">
        <f>決算入力!D25</f>
        <v>1418.0169690749576</v>
      </c>
      <c r="I98" s="75">
        <f>決算入力!G25</f>
        <v>545.35463434520113</v>
      </c>
      <c r="J98" s="75">
        <f>決算入力!J25</f>
        <v>1235.2909158624611</v>
      </c>
      <c r="K98" s="75">
        <f>決算入力!M25</f>
        <v>506.29481209162907</v>
      </c>
      <c r="L98" s="75" t="e">
        <f>決算入力!P25</f>
        <v>#VALUE!</v>
      </c>
      <c r="M98" s="75">
        <f>決算入力!E25</f>
        <v>4059.8752094208126</v>
      </c>
      <c r="N98" s="75">
        <f>決算入力!H25</f>
        <v>3047.7207031656721</v>
      </c>
      <c r="O98" s="75">
        <f>決算入力!K25</f>
        <v>3925.3242160903046</v>
      </c>
      <c r="P98" s="75">
        <f>決算入力!N25</f>
        <v>3492.3393876597775</v>
      </c>
      <c r="Q98" s="75" t="e">
        <f>決算入力!Q25</f>
        <v>#VALUE!</v>
      </c>
    </row>
    <row r="99" spans="2:17" ht="13.5" customHeight="1" x14ac:dyDescent="0.4"/>
    <row r="100" spans="2:17" ht="13.5" customHeight="1" x14ac:dyDescent="0.4">
      <c r="C100" s="66" t="s">
        <v>112</v>
      </c>
      <c r="D100" s="67"/>
      <c r="E100" s="67"/>
      <c r="F100" s="67"/>
      <c r="G100" s="68"/>
      <c r="H100" s="66" t="s">
        <v>113</v>
      </c>
      <c r="I100" s="67"/>
      <c r="J100" s="67"/>
      <c r="K100" s="67"/>
      <c r="L100" s="83"/>
      <c r="M100" s="77"/>
      <c r="N100" s="1"/>
      <c r="O100" s="1"/>
      <c r="P100" s="1"/>
      <c r="Q100" s="78"/>
    </row>
    <row r="101" spans="2:17" ht="13.5" customHeight="1" x14ac:dyDescent="0.4">
      <c r="B101" s="7" t="s">
        <v>112</v>
      </c>
      <c r="C101" s="69" t="s">
        <v>81</v>
      </c>
      <c r="D101" s="70" t="s">
        <v>82</v>
      </c>
      <c r="E101" s="71" t="s">
        <v>83</v>
      </c>
      <c r="F101" s="72" t="s">
        <v>84</v>
      </c>
      <c r="G101" s="73" t="s">
        <v>85</v>
      </c>
      <c r="H101" s="69" t="s">
        <v>81</v>
      </c>
      <c r="I101" s="70" t="s">
        <v>82</v>
      </c>
      <c r="J101" s="71" t="s">
        <v>83</v>
      </c>
      <c r="K101" s="72" t="s">
        <v>84</v>
      </c>
      <c r="L101" s="73" t="s">
        <v>85</v>
      </c>
      <c r="M101" s="79"/>
      <c r="N101" s="80"/>
      <c r="O101" s="80"/>
      <c r="P101" s="80"/>
      <c r="Q101" s="80"/>
    </row>
    <row r="102" spans="2:17" ht="13.5" customHeight="1" x14ac:dyDescent="0.4">
      <c r="B102" s="74">
        <f>B$54</f>
        <v>2025</v>
      </c>
      <c r="C102" s="85">
        <f>E18</f>
        <v>0</v>
      </c>
      <c r="D102" s="85">
        <f>H18</f>
        <v>0</v>
      </c>
      <c r="E102" s="85">
        <f>K18</f>
        <v>0</v>
      </c>
      <c r="F102" s="85">
        <f>N18</f>
        <v>0</v>
      </c>
      <c r="G102" s="85" t="e">
        <f>Q18</f>
        <v>#VALUE!</v>
      </c>
      <c r="H102" s="87">
        <f>IF(H90,M98/H90,0)</f>
        <v>1.1525623746817655</v>
      </c>
      <c r="I102" s="87">
        <f>IF(I90,N98/I90,0)</f>
        <v>0.85255491544511863</v>
      </c>
      <c r="J102" s="87">
        <f>IF(J90,O98/J90,0)</f>
        <v>1.0214471884160254</v>
      </c>
      <c r="K102" s="87">
        <f>IF(K90,P98/K90,0)</f>
        <v>0.87716525137488044</v>
      </c>
      <c r="L102" s="87" t="e">
        <f>IF(L90,Q98/L90,0)</f>
        <v>#VALUE!</v>
      </c>
      <c r="M102" s="81"/>
      <c r="N102" s="82"/>
      <c r="O102" s="82"/>
      <c r="P102" s="82"/>
      <c r="Q102" s="82"/>
    </row>
    <row r="103" spans="2:17" ht="13.5" customHeight="1" x14ac:dyDescent="0.4"/>
    <row r="104" spans="2:17" ht="13.5" customHeight="1" x14ac:dyDescent="0.4">
      <c r="C104" s="66" t="s">
        <v>114</v>
      </c>
      <c r="D104" s="67"/>
      <c r="E104" s="84" t="s">
        <v>94</v>
      </c>
      <c r="F104" s="67"/>
      <c r="G104" s="68"/>
      <c r="H104" s="66" t="s">
        <v>115</v>
      </c>
      <c r="I104" s="67"/>
      <c r="J104" s="67"/>
      <c r="K104" s="67"/>
      <c r="L104" s="83"/>
      <c r="M104" s="77"/>
      <c r="N104" s="1"/>
      <c r="O104" s="1"/>
      <c r="P104" s="1"/>
      <c r="Q104" s="78"/>
    </row>
    <row r="105" spans="2:17" ht="13.5" customHeight="1" x14ac:dyDescent="0.4">
      <c r="B105" s="7" t="s">
        <v>114</v>
      </c>
      <c r="C105" s="69" t="s">
        <v>81</v>
      </c>
      <c r="D105" s="70" t="s">
        <v>82</v>
      </c>
      <c r="E105" s="71" t="s">
        <v>83</v>
      </c>
      <c r="F105" s="72" t="s">
        <v>84</v>
      </c>
      <c r="G105" s="73" t="s">
        <v>85</v>
      </c>
      <c r="H105" s="69" t="s">
        <v>81</v>
      </c>
      <c r="I105" s="70" t="s">
        <v>82</v>
      </c>
      <c r="J105" s="71" t="s">
        <v>83</v>
      </c>
      <c r="K105" s="72" t="s">
        <v>84</v>
      </c>
      <c r="L105" s="73" t="s">
        <v>85</v>
      </c>
      <c r="M105" s="79"/>
      <c r="N105" s="80"/>
      <c r="O105" s="80"/>
      <c r="P105" s="80"/>
      <c r="Q105" s="80"/>
    </row>
    <row r="106" spans="2:17" ht="13.5" customHeight="1" x14ac:dyDescent="0.4">
      <c r="B106" s="74">
        <f>B$54</f>
        <v>2025</v>
      </c>
      <c r="C106" s="85">
        <f>IF(C58,C70/(C58*0.7),0)</f>
        <v>0</v>
      </c>
      <c r="D106" s="85">
        <f>IF(D58,D70/(D58*0.7),0)</f>
        <v>0</v>
      </c>
      <c r="E106" s="85">
        <f>IF(E58,E70/(E58*0.7),0)</f>
        <v>0</v>
      </c>
      <c r="F106" s="85">
        <f>IF(F58,F70/(F58*0.7),0)</f>
        <v>0</v>
      </c>
      <c r="G106" s="85">
        <f>IF(G58,G70/(G58*0.7),0)</f>
        <v>0</v>
      </c>
      <c r="H106" s="87">
        <f>IF(D14&gt;0,M98/C74,0)</f>
        <v>18.292896354117261</v>
      </c>
      <c r="I106" s="87">
        <f>IF(G14&gt;0,N98/G14,0)</f>
        <v>21.845369768676036</v>
      </c>
      <c r="J106" s="87">
        <f>IF(J14&gt;0,O98/J14,0)</f>
        <v>18.038128690712508</v>
      </c>
      <c r="K106" s="87">
        <f>IF(M14&gt;0,P98/M14,0)</f>
        <v>25.591152574413464</v>
      </c>
      <c r="L106" s="87">
        <f>IF(P14&gt;0,Q98/P14,0)</f>
        <v>0</v>
      </c>
      <c r="M106" s="81"/>
      <c r="N106" s="82"/>
      <c r="O106" s="82"/>
      <c r="P106" s="82"/>
      <c r="Q106" s="82"/>
    </row>
    <row r="107" spans="2:17" ht="13.5" customHeight="1" x14ac:dyDescent="0.4"/>
    <row r="108" spans="2:17" ht="13.5" customHeight="1" x14ac:dyDescent="0.4">
      <c r="C108" s="66" t="s">
        <v>116</v>
      </c>
      <c r="D108" s="67"/>
      <c r="E108" s="67"/>
      <c r="F108" s="67"/>
      <c r="G108" s="68"/>
      <c r="H108" s="66" t="s">
        <v>117</v>
      </c>
      <c r="I108" s="67"/>
      <c r="J108" s="67"/>
      <c r="K108" s="67"/>
      <c r="L108" s="83"/>
      <c r="M108" s="66" t="s">
        <v>118</v>
      </c>
      <c r="N108" s="67"/>
      <c r="O108" s="67"/>
      <c r="P108" s="67"/>
      <c r="Q108" s="83"/>
    </row>
    <row r="109" spans="2:17" ht="13.5" customHeight="1" x14ac:dyDescent="0.4">
      <c r="B109" s="7" t="s">
        <v>119</v>
      </c>
      <c r="C109" s="69" t="s">
        <v>81</v>
      </c>
      <c r="D109" s="70" t="s">
        <v>82</v>
      </c>
      <c r="E109" s="71" t="s">
        <v>83</v>
      </c>
      <c r="F109" s="72" t="s">
        <v>84</v>
      </c>
      <c r="G109" s="73" t="s">
        <v>85</v>
      </c>
      <c r="H109" s="69" t="s">
        <v>81</v>
      </c>
      <c r="I109" s="70" t="s">
        <v>82</v>
      </c>
      <c r="J109" s="71" t="s">
        <v>83</v>
      </c>
      <c r="K109" s="72" t="s">
        <v>84</v>
      </c>
      <c r="L109" s="73" t="s">
        <v>85</v>
      </c>
      <c r="M109" s="69" t="s">
        <v>81</v>
      </c>
      <c r="N109" s="70" t="s">
        <v>82</v>
      </c>
      <c r="O109" s="71" t="s">
        <v>83</v>
      </c>
      <c r="P109" s="72" t="s">
        <v>84</v>
      </c>
      <c r="Q109" s="73" t="s">
        <v>85</v>
      </c>
    </row>
    <row r="110" spans="2:17" ht="13.5" customHeight="1" x14ac:dyDescent="0.4">
      <c r="B110" s="74">
        <f>B$54</f>
        <v>2025</v>
      </c>
      <c r="C110" s="75">
        <f>IF(D13,C21/D13*1000,0)</f>
        <v>418.45825787229069</v>
      </c>
      <c r="D110" s="75">
        <f>IF(G13,F21/G13*1000,0)</f>
        <v>245.39931062686219</v>
      </c>
      <c r="E110" s="75">
        <f>IF(J13,I21/J13*1000,0)</f>
        <v>409.87030437576675</v>
      </c>
      <c r="F110" s="75">
        <f>IF(M13,L21/M13*1000,0)</f>
        <v>26.464917917859438</v>
      </c>
      <c r="G110" s="75" t="e">
        <f>IF(P13,O21/P13*1000,0)</f>
        <v>#VALUE!</v>
      </c>
      <c r="H110" s="75">
        <f>IF(D13,D21/D13*1000,0)</f>
        <v>-426.3889700297949</v>
      </c>
      <c r="I110" s="75">
        <f>IF(G13,G21/G13*1000,0)</f>
        <v>-294.15201261903371</v>
      </c>
      <c r="J110" s="75">
        <f>IF(J13,J21/J13*1000,0)</f>
        <v>-125.7959922883683</v>
      </c>
      <c r="K110" s="75">
        <f>IF(M13,M21/M13*1000,0)</f>
        <v>-149.77799848104223</v>
      </c>
      <c r="L110" s="75" t="e">
        <f>IF(P13,P21/P13*1000,0)</f>
        <v>#VALUE!</v>
      </c>
      <c r="M110" s="75">
        <f>IF(D13,E21/D13*1000,0)</f>
        <v>-70.967459251036985</v>
      </c>
      <c r="N110" s="75">
        <f>IF(G13,H21/G13*1000,0)</f>
        <v>-150.20155401063269</v>
      </c>
      <c r="O110" s="75">
        <f>IF(J13,K21/J13*1000,0)</f>
        <v>-90.246538528947838</v>
      </c>
      <c r="P110" s="75">
        <f>IF(M13,N21/M13*1000,0)</f>
        <v>-573.20207980370401</v>
      </c>
      <c r="Q110" s="75" t="e">
        <f>IF(P13,Q21/P13*1000,0)</f>
        <v>#VALUE!</v>
      </c>
    </row>
    <row r="111" spans="2:17" ht="13.5" customHeight="1" x14ac:dyDescent="0.4"/>
    <row r="112" spans="2:17" ht="13.5" customHeight="1" x14ac:dyDescent="0.4">
      <c r="C112" s="66" t="s">
        <v>120</v>
      </c>
      <c r="D112" s="67"/>
      <c r="E112" s="67"/>
      <c r="F112" s="67"/>
      <c r="G112" s="68"/>
      <c r="H112" s="66" t="s">
        <v>121</v>
      </c>
      <c r="I112" s="67"/>
      <c r="J112" s="67"/>
      <c r="K112" s="67"/>
      <c r="L112" s="83"/>
      <c r="M112" s="66" t="s">
        <v>122</v>
      </c>
      <c r="N112" s="67"/>
      <c r="O112" s="67"/>
      <c r="P112" s="67"/>
      <c r="Q112" s="83"/>
    </row>
    <row r="113" spans="2:17" ht="13.5" customHeight="1" x14ac:dyDescent="0.4">
      <c r="B113" s="7" t="s">
        <v>119</v>
      </c>
      <c r="C113" s="69" t="s">
        <v>81</v>
      </c>
      <c r="D113" s="70" t="s">
        <v>82</v>
      </c>
      <c r="E113" s="71" t="s">
        <v>83</v>
      </c>
      <c r="F113" s="72" t="s">
        <v>84</v>
      </c>
      <c r="G113" s="73" t="s">
        <v>85</v>
      </c>
      <c r="H113" s="69" t="s">
        <v>81</v>
      </c>
      <c r="I113" s="70" t="s">
        <v>82</v>
      </c>
      <c r="J113" s="71" t="s">
        <v>83</v>
      </c>
      <c r="K113" s="72" t="s">
        <v>84</v>
      </c>
      <c r="L113" s="73" t="s">
        <v>85</v>
      </c>
      <c r="M113" s="69" t="s">
        <v>81</v>
      </c>
      <c r="N113" s="70" t="s">
        <v>82</v>
      </c>
      <c r="O113" s="71" t="s">
        <v>83</v>
      </c>
      <c r="P113" s="72" t="s">
        <v>84</v>
      </c>
      <c r="Q113" s="73" t="s">
        <v>85</v>
      </c>
    </row>
    <row r="114" spans="2:17" ht="13.5" customHeight="1" x14ac:dyDescent="0.4">
      <c r="B114" s="74">
        <f>B$54</f>
        <v>2025</v>
      </c>
      <c r="C114" s="75">
        <f>IF(D13,E22/D13*1000,0)</f>
        <v>-7.9307121575042352</v>
      </c>
      <c r="D114" s="75">
        <f>IF(G13,H22/G13*1000,0)</f>
        <v>-48.752701992171531</v>
      </c>
      <c r="E114" s="75">
        <f>IF(J13,K22/J13*1000,0)</f>
        <v>284.07431208739848</v>
      </c>
      <c r="F114" s="75">
        <f>IF(M13,N22/M13*1000,0)</f>
        <v>-123.31308056318279</v>
      </c>
      <c r="G114" s="75" t="e">
        <f>IF(P13,Q22/P13*1000,0)</f>
        <v>#VALUE!</v>
      </c>
      <c r="H114" s="87">
        <f>IF(C110,C62/C110,0)</f>
        <v>0</v>
      </c>
      <c r="I114" s="87">
        <f>IF(D110,D62/D110,0)</f>
        <v>0</v>
      </c>
      <c r="J114" s="87">
        <f>IF(E110,E62/E110,0)</f>
        <v>0</v>
      </c>
      <c r="K114" s="87">
        <f>IF(F110,F62/F110,0)</f>
        <v>0</v>
      </c>
      <c r="L114" s="87" t="e">
        <f>IF(G110,G62/G110,0)</f>
        <v>#VALUE!</v>
      </c>
      <c r="M114" s="87">
        <f>IF(C110,M98/C110,0)</f>
        <v>9.7019837296647307</v>
      </c>
      <c r="N114" s="87">
        <f>IF(D110,N98/D110,0)</f>
        <v>12.419434656847235</v>
      </c>
      <c r="O114" s="87">
        <f>IF(E110,O98/E110,0)</f>
        <v>9.5769909997958518</v>
      </c>
      <c r="P114" s="87">
        <f>IF(F110,P98/F110,0)</f>
        <v>131.96108895932099</v>
      </c>
      <c r="Q114" s="87" t="e">
        <f>IF(G110,Q98/G110,0)</f>
        <v>#VALUE!</v>
      </c>
    </row>
    <row r="115" spans="2:17" ht="13.5" customHeight="1" x14ac:dyDescent="0.4"/>
    <row r="116" spans="2:17" x14ac:dyDescent="0.4">
      <c r="C116" s="66" t="s">
        <v>123</v>
      </c>
      <c r="D116" s="67"/>
      <c r="E116" s="67"/>
      <c r="F116" s="67"/>
      <c r="G116" s="68"/>
      <c r="H116" s="66" t="s">
        <v>124</v>
      </c>
      <c r="I116" s="67"/>
      <c r="J116" s="67"/>
      <c r="K116" s="67"/>
      <c r="L116" s="83" t="s">
        <v>37</v>
      </c>
      <c r="M116" s="66" t="s">
        <v>124</v>
      </c>
      <c r="N116" s="67"/>
      <c r="O116" s="67"/>
      <c r="P116" s="67"/>
      <c r="Q116" s="83" t="s">
        <v>80</v>
      </c>
    </row>
    <row r="117" spans="2:17" x14ac:dyDescent="0.4">
      <c r="B117" s="74">
        <f>B$54</f>
        <v>2025</v>
      </c>
      <c r="C117" s="69" t="s">
        <v>81</v>
      </c>
      <c r="D117" s="70" t="s">
        <v>82</v>
      </c>
      <c r="E117" s="71" t="s">
        <v>83</v>
      </c>
      <c r="F117" s="72" t="s">
        <v>84</v>
      </c>
      <c r="G117" s="73" t="s">
        <v>85</v>
      </c>
      <c r="H117" s="69" t="s">
        <v>81</v>
      </c>
      <c r="I117" s="70" t="s">
        <v>82</v>
      </c>
      <c r="J117" s="71" t="s">
        <v>83</v>
      </c>
      <c r="K117" s="72" t="s">
        <v>84</v>
      </c>
      <c r="L117" s="73" t="s">
        <v>85</v>
      </c>
      <c r="M117" s="69" t="s">
        <v>81</v>
      </c>
      <c r="N117" s="70" t="s">
        <v>82</v>
      </c>
      <c r="O117" s="71" t="s">
        <v>83</v>
      </c>
      <c r="P117" s="72" t="s">
        <v>84</v>
      </c>
      <c r="Q117" s="73" t="s">
        <v>85</v>
      </c>
    </row>
    <row r="118" spans="2:17" x14ac:dyDescent="0.4">
      <c r="B118" s="7" t="s">
        <v>125</v>
      </c>
      <c r="C118" s="75" t="str">
        <f>決算入力!C$57</f>
        <v>データなし</v>
      </c>
      <c r="D118" s="75" t="str">
        <f>決算入力!F$57</f>
        <v>データなし</v>
      </c>
      <c r="E118" s="75" t="str">
        <f>決算入力!I$57</f>
        <v>データなし</v>
      </c>
      <c r="F118" s="75">
        <f>決算入力!L$57</f>
        <v>-26</v>
      </c>
      <c r="G118" s="75" t="str">
        <f>決算入力!O$57</f>
        <v>データなし</v>
      </c>
      <c r="H118" s="16" t="s">
        <v>86</v>
      </c>
      <c r="I118" s="76" t="e">
        <f t="shared" ref="I118:L121" si="5">IF(C118,D118/C118,"-")</f>
        <v>#VALUE!</v>
      </c>
      <c r="J118" s="76" t="e">
        <f t="shared" si="5"/>
        <v>#VALUE!</v>
      </c>
      <c r="K118" s="76" t="e">
        <f t="shared" si="5"/>
        <v>#VALUE!</v>
      </c>
      <c r="L118" s="76" t="e">
        <f t="shared" si="5"/>
        <v>#VALUE!</v>
      </c>
      <c r="M118" s="76" t="e">
        <f t="shared" ref="M118:Q121" si="6">IF($C118,C118/$C118,"-")</f>
        <v>#VALUE!</v>
      </c>
      <c r="N118" s="76" t="e">
        <f t="shared" si="6"/>
        <v>#VALUE!</v>
      </c>
      <c r="O118" s="76" t="e">
        <f t="shared" si="6"/>
        <v>#VALUE!</v>
      </c>
      <c r="P118" s="76" t="e">
        <f t="shared" si="6"/>
        <v>#VALUE!</v>
      </c>
      <c r="Q118" s="76" t="e">
        <f t="shared" si="6"/>
        <v>#VALUE!</v>
      </c>
    </row>
    <row r="119" spans="2:17" x14ac:dyDescent="0.4">
      <c r="B119" s="7" t="s">
        <v>126</v>
      </c>
      <c r="C119" s="75" t="str">
        <f>決算入力!D$57</f>
        <v>データなし</v>
      </c>
      <c r="D119" s="75" t="str">
        <f>決算入力!G$57</f>
        <v>データなし</v>
      </c>
      <c r="E119" s="75" t="str">
        <f>決算入力!J$57</f>
        <v>データなし</v>
      </c>
      <c r="F119" s="75" t="str">
        <f>決算入力!M$57</f>
        <v>データなし</v>
      </c>
      <c r="G119" s="75" t="str">
        <f>決算入力!P$57</f>
        <v>データなし</v>
      </c>
      <c r="H119" s="16" t="s">
        <v>86</v>
      </c>
      <c r="I119" s="76" t="e">
        <f t="shared" si="5"/>
        <v>#VALUE!</v>
      </c>
      <c r="J119" s="76" t="e">
        <f t="shared" si="5"/>
        <v>#VALUE!</v>
      </c>
      <c r="K119" s="76" t="e">
        <f t="shared" si="5"/>
        <v>#VALUE!</v>
      </c>
      <c r="L119" s="76" t="e">
        <f t="shared" si="5"/>
        <v>#VALUE!</v>
      </c>
      <c r="M119" s="76" t="e">
        <f t="shared" si="6"/>
        <v>#VALUE!</v>
      </c>
      <c r="N119" s="76" t="e">
        <f t="shared" si="6"/>
        <v>#VALUE!</v>
      </c>
      <c r="O119" s="76" t="e">
        <f t="shared" si="6"/>
        <v>#VALUE!</v>
      </c>
      <c r="P119" s="76" t="e">
        <f t="shared" si="6"/>
        <v>#VALUE!</v>
      </c>
      <c r="Q119" s="76" t="e">
        <f t="shared" si="6"/>
        <v>#VALUE!</v>
      </c>
    </row>
    <row r="120" spans="2:17" x14ac:dyDescent="0.4">
      <c r="B120" s="7" t="s">
        <v>48</v>
      </c>
      <c r="C120" s="75" t="str">
        <f>決算入力!E$57</f>
        <v>データなし</v>
      </c>
      <c r="D120" s="75" t="str">
        <f>決算入力!H$57</f>
        <v>データなし</v>
      </c>
      <c r="E120" s="75" t="str">
        <f>決算入力!K$57</f>
        <v>データなし</v>
      </c>
      <c r="F120" s="75" t="str">
        <f>決算入力!N$57</f>
        <v>データなし</v>
      </c>
      <c r="G120" s="75" t="str">
        <f>決算入力!Q$57</f>
        <v>データなし</v>
      </c>
      <c r="H120" s="16" t="s">
        <v>86</v>
      </c>
      <c r="I120" s="76" t="e">
        <f t="shared" si="5"/>
        <v>#VALUE!</v>
      </c>
      <c r="J120" s="76" t="e">
        <f t="shared" si="5"/>
        <v>#VALUE!</v>
      </c>
      <c r="K120" s="76" t="e">
        <f t="shared" si="5"/>
        <v>#VALUE!</v>
      </c>
      <c r="L120" s="76" t="e">
        <f t="shared" si="5"/>
        <v>#VALUE!</v>
      </c>
      <c r="M120" s="76" t="e">
        <f t="shared" si="6"/>
        <v>#VALUE!</v>
      </c>
      <c r="N120" s="76" t="e">
        <f t="shared" si="6"/>
        <v>#VALUE!</v>
      </c>
      <c r="O120" s="76" t="e">
        <f t="shared" si="6"/>
        <v>#VALUE!</v>
      </c>
      <c r="P120" s="76" t="e">
        <f t="shared" si="6"/>
        <v>#VALUE!</v>
      </c>
      <c r="Q120" s="76" t="e">
        <f t="shared" si="6"/>
        <v>#VALUE!</v>
      </c>
    </row>
    <row r="121" spans="2:17" x14ac:dyDescent="0.4">
      <c r="B121" s="7" t="s">
        <v>127</v>
      </c>
      <c r="C121" s="75">
        <f>SUM(C118:C120)</f>
        <v>0</v>
      </c>
      <c r="D121" s="75">
        <f>SUM(D118:D120)</f>
        <v>0</v>
      </c>
      <c r="E121" s="75">
        <f>SUM(E118:E120)</f>
        <v>0</v>
      </c>
      <c r="F121" s="75">
        <f>SUM(F118:F120)</f>
        <v>-26</v>
      </c>
      <c r="G121" s="75">
        <f>SUM(G118:G120)</f>
        <v>0</v>
      </c>
      <c r="H121" s="16" t="s">
        <v>86</v>
      </c>
      <c r="I121" s="76" t="str">
        <f t="shared" si="5"/>
        <v>-</v>
      </c>
      <c r="J121" s="76" t="str">
        <f t="shared" si="5"/>
        <v>-</v>
      </c>
      <c r="K121" s="76" t="str">
        <f t="shared" si="5"/>
        <v>-</v>
      </c>
      <c r="L121" s="76">
        <f t="shared" si="5"/>
        <v>0</v>
      </c>
      <c r="M121" s="76" t="str">
        <f t="shared" si="6"/>
        <v>-</v>
      </c>
      <c r="N121" s="76" t="str">
        <f t="shared" si="6"/>
        <v>-</v>
      </c>
      <c r="O121" s="76" t="str">
        <f t="shared" si="6"/>
        <v>-</v>
      </c>
      <c r="P121" s="76" t="str">
        <f t="shared" si="6"/>
        <v>-</v>
      </c>
      <c r="Q121" s="76" t="str">
        <f t="shared" si="6"/>
        <v>-</v>
      </c>
    </row>
    <row r="123" spans="2:17" x14ac:dyDescent="0.4">
      <c r="C123" s="66" t="s">
        <v>128</v>
      </c>
      <c r="D123" s="67"/>
      <c r="E123" s="67"/>
      <c r="F123" s="67"/>
      <c r="G123" s="68"/>
      <c r="H123" s="77"/>
      <c r="I123" s="1"/>
      <c r="J123" s="1"/>
      <c r="K123" s="1"/>
      <c r="L123" s="80"/>
      <c r="M123" s="1"/>
      <c r="N123" s="1"/>
      <c r="O123" s="1"/>
      <c r="P123" s="1"/>
      <c r="Q123" s="80"/>
    </row>
    <row r="124" spans="2:17" x14ac:dyDescent="0.4">
      <c r="B124" s="7" t="s">
        <v>50</v>
      </c>
      <c r="C124" s="69" t="s">
        <v>81</v>
      </c>
      <c r="D124" s="70" t="s">
        <v>82</v>
      </c>
      <c r="E124" s="71" t="s">
        <v>83</v>
      </c>
      <c r="F124" s="72" t="s">
        <v>84</v>
      </c>
      <c r="G124" s="73" t="s">
        <v>85</v>
      </c>
      <c r="H124" s="79"/>
      <c r="J124" s="80"/>
      <c r="K124" s="80"/>
      <c r="L124" s="80"/>
      <c r="M124" s="80"/>
      <c r="N124" s="80"/>
      <c r="O124" s="80"/>
      <c r="P124" s="80"/>
      <c r="Q124" s="80"/>
    </row>
    <row r="125" spans="2:17" x14ac:dyDescent="0.4">
      <c r="B125" s="74">
        <f>B$54</f>
        <v>2025</v>
      </c>
      <c r="C125" s="75">
        <f>C121/(D9+決算入力!D67)</f>
        <v>0</v>
      </c>
      <c r="D125" s="75">
        <f>D121/(G9+決算入力!G67)</f>
        <v>0</v>
      </c>
      <c r="E125" s="75">
        <f>E121/(J9+決算入力!J67)</f>
        <v>0</v>
      </c>
      <c r="F125" s="75">
        <f>F121/(M9+決算入力!M67)</f>
        <v>-9.3461303425716236E-4</v>
      </c>
      <c r="G125" s="75" t="e">
        <f>G121/(P9+決算入力!P67)</f>
        <v>#DIV/0!</v>
      </c>
      <c r="H125" s="79"/>
      <c r="I125" s="82"/>
      <c r="J125" s="82"/>
      <c r="K125" s="82"/>
      <c r="L125" s="82"/>
      <c r="M125" s="82"/>
      <c r="N125" s="82"/>
      <c r="O125" s="82"/>
      <c r="P125" s="82"/>
      <c r="Q125" s="82"/>
    </row>
    <row r="127" spans="2:17" x14ac:dyDescent="0.4">
      <c r="C127" s="66" t="s">
        <v>51</v>
      </c>
      <c r="D127" s="67"/>
      <c r="E127" s="67"/>
      <c r="F127" s="67"/>
      <c r="G127" s="68"/>
      <c r="H127" s="66" t="s">
        <v>129</v>
      </c>
      <c r="I127" s="67"/>
      <c r="J127" s="67"/>
      <c r="K127" s="67"/>
      <c r="L127" s="83"/>
      <c r="M127" s="66" t="s">
        <v>130</v>
      </c>
      <c r="N127" s="67"/>
      <c r="O127" s="67"/>
      <c r="P127" s="67"/>
      <c r="Q127" s="83"/>
    </row>
    <row r="128" spans="2:17" x14ac:dyDescent="0.4">
      <c r="B128" s="7" t="s">
        <v>51</v>
      </c>
      <c r="C128" s="69" t="s">
        <v>81</v>
      </c>
      <c r="D128" s="70" t="s">
        <v>82</v>
      </c>
      <c r="E128" s="71" t="s">
        <v>83</v>
      </c>
      <c r="F128" s="72" t="s">
        <v>84</v>
      </c>
      <c r="G128" s="73" t="s">
        <v>85</v>
      </c>
      <c r="H128" s="69" t="s">
        <v>81</v>
      </c>
      <c r="I128" s="70" t="s">
        <v>82</v>
      </c>
      <c r="J128" s="71" t="s">
        <v>83</v>
      </c>
      <c r="K128" s="72" t="s">
        <v>84</v>
      </c>
      <c r="L128" s="73" t="s">
        <v>85</v>
      </c>
      <c r="M128" s="69" t="s">
        <v>81</v>
      </c>
      <c r="N128" s="70" t="s">
        <v>82</v>
      </c>
      <c r="O128" s="71" t="s">
        <v>83</v>
      </c>
      <c r="P128" s="72" t="s">
        <v>84</v>
      </c>
      <c r="Q128" s="73" t="s">
        <v>85</v>
      </c>
    </row>
    <row r="129" spans="2:17" x14ac:dyDescent="0.4">
      <c r="B129" s="74">
        <f>B$54</f>
        <v>2025</v>
      </c>
      <c r="C129" s="75">
        <f>決算入力!D60</f>
        <v>-7</v>
      </c>
      <c r="D129" s="75">
        <f>決算入力!G60</f>
        <v>-5002</v>
      </c>
      <c r="E129" s="75">
        <f>決算入力!J60</f>
        <v>-2</v>
      </c>
      <c r="F129" s="75">
        <f>決算入力!M60</f>
        <v>-6</v>
      </c>
      <c r="G129" s="75" t="str">
        <f>決算入力!P60</f>
        <v>データなし</v>
      </c>
      <c r="H129" s="115">
        <f>$C$129/決算入力!E$22</f>
        <v>1.289134438305709E-2</v>
      </c>
      <c r="I129" s="115">
        <f>$D$129/決算入力!H$22</f>
        <v>1.4985020970641103</v>
      </c>
      <c r="J129" s="115">
        <f>$E$129/決算入力!K$22</f>
        <v>-1.0282776349614396E-4</v>
      </c>
      <c r="K129" s="115">
        <f>$F$129/決算入力!N$22</f>
        <v>7.1064787397844367E-4</v>
      </c>
      <c r="L129" s="115" t="e">
        <f>$G$129/決算入力!Q$22</f>
        <v>#VALUE!</v>
      </c>
      <c r="M129" s="115">
        <f>$C$129/D$11</f>
        <v>-5.1595783887373777E-4</v>
      </c>
      <c r="N129" s="115">
        <f>$D$129/G$11</f>
        <v>-0.6132908288376655</v>
      </c>
      <c r="O129" s="115">
        <f>$E$129/J$11</f>
        <v>-1.4065686757155918E-4</v>
      </c>
      <c r="P129" s="115">
        <f>$F$129/M$11</f>
        <v>-7.35564545788893E-4</v>
      </c>
      <c r="Q129" s="115" t="e">
        <f>$G$129/P$11</f>
        <v>#VALUE!</v>
      </c>
    </row>
    <row r="130" spans="2:17" x14ac:dyDescent="0.4">
      <c r="C130" s="66" t="s">
        <v>123</v>
      </c>
      <c r="D130" s="67"/>
      <c r="E130" s="67"/>
      <c r="F130" s="67"/>
      <c r="G130" s="68"/>
      <c r="H130" s="113" t="s">
        <v>124</v>
      </c>
      <c r="I130" s="10"/>
      <c r="J130" s="10"/>
      <c r="K130" s="10"/>
      <c r="L130" s="114" t="s">
        <v>37</v>
      </c>
      <c r="M130" s="113" t="s">
        <v>124</v>
      </c>
      <c r="N130" s="10"/>
      <c r="O130" s="10"/>
      <c r="P130" s="10"/>
      <c r="Q130" s="114" t="s">
        <v>80</v>
      </c>
    </row>
    <row r="131" spans="2:17" x14ac:dyDescent="0.4">
      <c r="B131" s="7" t="s">
        <v>52</v>
      </c>
      <c r="C131" s="69" t="s">
        <v>81</v>
      </c>
      <c r="D131" s="70" t="s">
        <v>82</v>
      </c>
      <c r="E131" s="71" t="s">
        <v>83</v>
      </c>
      <c r="F131" s="72" t="s">
        <v>84</v>
      </c>
      <c r="G131" s="73" t="s">
        <v>85</v>
      </c>
      <c r="H131" s="69" t="s">
        <v>81</v>
      </c>
      <c r="I131" s="70" t="s">
        <v>82</v>
      </c>
      <c r="J131" s="71" t="s">
        <v>83</v>
      </c>
      <c r="K131" s="72" t="s">
        <v>84</v>
      </c>
      <c r="L131" s="73" t="s">
        <v>85</v>
      </c>
      <c r="M131" s="69" t="s">
        <v>81</v>
      </c>
      <c r="N131" s="70" t="s">
        <v>82</v>
      </c>
      <c r="O131" s="71" t="s">
        <v>83</v>
      </c>
      <c r="P131" s="72" t="s">
        <v>84</v>
      </c>
      <c r="Q131" s="73" t="s">
        <v>85</v>
      </c>
    </row>
    <row r="132" spans="2:17" x14ac:dyDescent="0.4">
      <c r="B132" s="74">
        <f>B$54</f>
        <v>2025</v>
      </c>
      <c r="C132" s="75">
        <f>決算入力!D61</f>
        <v>-4545</v>
      </c>
      <c r="D132" s="75">
        <f>決算入力!G61</f>
        <v>-4816</v>
      </c>
      <c r="E132" s="75">
        <f>決算入力!J61</f>
        <v>-5087</v>
      </c>
      <c r="F132" s="75">
        <f>決算入力!M61</f>
        <v>-5405</v>
      </c>
      <c r="G132" s="75" t="str">
        <f>決算入力!P61</f>
        <v>データなし</v>
      </c>
      <c r="H132" s="16" t="s">
        <v>86</v>
      </c>
      <c r="I132" s="76">
        <f>IF(C132,D132/C132,"-")</f>
        <v>1.0596259625962596</v>
      </c>
      <c r="J132" s="76">
        <f>IF(D132,E132/D132,"-")</f>
        <v>1.0562707641196014</v>
      </c>
      <c r="K132" s="76">
        <f>IF(E132,F132/E132,"-")</f>
        <v>1.062512286219776</v>
      </c>
      <c r="L132" s="76" t="e">
        <f>IF(F132,G132/F132,"-")</f>
        <v>#VALUE!</v>
      </c>
      <c r="M132" s="76">
        <f>IF($C132,C132/$C132,"-")</f>
        <v>1</v>
      </c>
      <c r="N132" s="76">
        <f>IF($C132,D132/$C132,"-")</f>
        <v>1.0596259625962596</v>
      </c>
      <c r="O132" s="76">
        <f>IF($C132,E132/$C132,"-")</f>
        <v>1.1192519251925193</v>
      </c>
      <c r="P132" s="76">
        <f>IF($C132,F132/$C132,"-")</f>
        <v>1.1892189218921891</v>
      </c>
      <c r="Q132" s="76" t="e">
        <f>IF($C132,G132/$C132,"-")</f>
        <v>#VALUE!</v>
      </c>
    </row>
    <row r="133" spans="2:17" x14ac:dyDescent="0.4">
      <c r="C133" s="66" t="s">
        <v>131</v>
      </c>
      <c r="D133" s="67"/>
      <c r="E133" s="67"/>
      <c r="F133" s="67"/>
      <c r="G133" s="68"/>
      <c r="H133" s="66" t="s">
        <v>132</v>
      </c>
      <c r="I133" s="67"/>
      <c r="J133" s="67"/>
      <c r="K133" s="67"/>
      <c r="L133" s="83"/>
      <c r="M133" s="66" t="s">
        <v>133</v>
      </c>
      <c r="N133" s="67"/>
      <c r="O133" s="67"/>
      <c r="P133" s="67"/>
      <c r="Q133" s="83"/>
    </row>
    <row r="134" spans="2:17" x14ac:dyDescent="0.4">
      <c r="B134" s="7" t="s">
        <v>134</v>
      </c>
      <c r="C134" s="69" t="s">
        <v>81</v>
      </c>
      <c r="D134" s="70" t="s">
        <v>82</v>
      </c>
      <c r="E134" s="71" t="s">
        <v>83</v>
      </c>
      <c r="F134" s="72" t="s">
        <v>84</v>
      </c>
      <c r="G134" s="73" t="s">
        <v>85</v>
      </c>
      <c r="H134" s="69" t="s">
        <v>81</v>
      </c>
      <c r="I134" s="70" t="s">
        <v>82</v>
      </c>
      <c r="J134" s="71" t="s">
        <v>83</v>
      </c>
      <c r="K134" s="72" t="s">
        <v>84</v>
      </c>
      <c r="L134" s="73" t="s">
        <v>85</v>
      </c>
      <c r="M134" s="69" t="s">
        <v>81</v>
      </c>
      <c r="N134" s="70" t="s">
        <v>82</v>
      </c>
      <c r="O134" s="71" t="s">
        <v>83</v>
      </c>
      <c r="P134" s="72" t="s">
        <v>84</v>
      </c>
      <c r="Q134" s="73" t="s">
        <v>85</v>
      </c>
    </row>
    <row r="135" spans="2:17" x14ac:dyDescent="0.4">
      <c r="B135" s="74">
        <f>B$54</f>
        <v>2025</v>
      </c>
      <c r="C135" s="75">
        <f>C129+C132</f>
        <v>-4552</v>
      </c>
      <c r="D135" s="75">
        <f>D129+D132</f>
        <v>-9818</v>
      </c>
      <c r="E135" s="75">
        <f>E129+E132</f>
        <v>-5089</v>
      </c>
      <c r="F135" s="75">
        <f>F129+F132</f>
        <v>-5411</v>
      </c>
      <c r="G135" s="75" t="e">
        <f>G129+G132</f>
        <v>#VALUE!</v>
      </c>
      <c r="H135" s="115">
        <f>C135/決算入力!E$22</f>
        <v>8.3830570902394115</v>
      </c>
      <c r="I135" s="115">
        <f>D135/決算入力!H$22</f>
        <v>2.9412822049131218</v>
      </c>
      <c r="J135" s="115">
        <f>E135/決算入力!K$22</f>
        <v>-0.26164524421593832</v>
      </c>
      <c r="K135" s="115">
        <f>F135/決算入力!N$22</f>
        <v>0.64088594101622642</v>
      </c>
      <c r="L135" s="115" t="e">
        <f>G135/決算入力!Q$22</f>
        <v>#VALUE!</v>
      </c>
      <c r="M135" s="115">
        <f>C135/決算入力!D$22</f>
        <v>-5.0881369951823657E-2</v>
      </c>
      <c r="N135" s="115">
        <f>D135/決算入力!G$22</f>
        <v>-0.12285245942665515</v>
      </c>
      <c r="O135" s="115">
        <f>E135/決算入力!J$22</f>
        <v>-5.3743227973091424E-2</v>
      </c>
      <c r="P135" s="115">
        <f>F135/決算入力!M$22</f>
        <v>-9.5583819113230883E-2</v>
      </c>
      <c r="Q135" s="115" t="e">
        <f>G135/決算入力!P$22</f>
        <v>#VALUE!</v>
      </c>
    </row>
    <row r="137" spans="2:17" x14ac:dyDescent="0.4">
      <c r="C137" s="66" t="s">
        <v>131</v>
      </c>
      <c r="D137" s="67"/>
      <c r="E137" s="67"/>
      <c r="F137" s="67"/>
      <c r="G137" s="68"/>
      <c r="H137" s="66" t="s">
        <v>132</v>
      </c>
      <c r="I137" s="67"/>
      <c r="J137" s="67"/>
      <c r="K137" s="67"/>
      <c r="L137" s="68"/>
      <c r="M137" s="66" t="s">
        <v>133</v>
      </c>
      <c r="N137" s="67"/>
      <c r="O137" s="67"/>
      <c r="P137" s="67"/>
      <c r="Q137" s="83"/>
    </row>
    <row r="138" spans="2:17" x14ac:dyDescent="0.4">
      <c r="B138" s="7" t="s">
        <v>135</v>
      </c>
      <c r="C138" s="69" t="s">
        <v>81</v>
      </c>
      <c r="D138" s="70" t="s">
        <v>82</v>
      </c>
      <c r="E138" s="71" t="s">
        <v>83</v>
      </c>
      <c r="F138" s="72" t="s">
        <v>84</v>
      </c>
      <c r="G138" s="73" t="s">
        <v>85</v>
      </c>
      <c r="H138" s="69" t="s">
        <v>81</v>
      </c>
      <c r="I138" s="70" t="s">
        <v>82</v>
      </c>
      <c r="J138" s="71" t="s">
        <v>83</v>
      </c>
      <c r="K138" s="72" t="s">
        <v>84</v>
      </c>
      <c r="L138" s="73" t="s">
        <v>85</v>
      </c>
      <c r="M138" s="69" t="s">
        <v>81</v>
      </c>
      <c r="N138" s="70" t="s">
        <v>82</v>
      </c>
      <c r="O138" s="71" t="s">
        <v>83</v>
      </c>
      <c r="P138" s="72" t="s">
        <v>84</v>
      </c>
      <c r="Q138" s="73" t="s">
        <v>85</v>
      </c>
    </row>
    <row r="139" spans="2:17" x14ac:dyDescent="0.4">
      <c r="B139" s="74">
        <f>B$54</f>
        <v>2025</v>
      </c>
      <c r="C139" s="75">
        <f>SUM(決算入力!D$63:D$67)</f>
        <v>14655</v>
      </c>
      <c r="D139" s="75">
        <f>SUM(決算入力!G$63:G$67)</f>
        <v>14168</v>
      </c>
      <c r="E139" s="75">
        <f>SUM(決算入力!J$63:J$67)</f>
        <v>14464</v>
      </c>
      <c r="F139" s="75">
        <f>SUM(決算入力!M$63:M$67)</f>
        <v>16943</v>
      </c>
      <c r="G139" s="75">
        <f>SUM(決算入力!P$63:P$67)</f>
        <v>0</v>
      </c>
      <c r="H139" s="115">
        <f>C139/決算入力!E$22</f>
        <v>-26.988950276243095</v>
      </c>
      <c r="I139" s="115">
        <f>D139/決算入力!H$22</f>
        <v>-4.2444577591372079</v>
      </c>
      <c r="J139" s="115">
        <f>E139/決算入力!K$22</f>
        <v>0.74365038560411312</v>
      </c>
      <c r="K139" s="115">
        <f>F139/決算入力!N$22</f>
        <v>-2.0067511548027954</v>
      </c>
      <c r="L139" s="115" t="e">
        <f>G139/決算入力!Q$22</f>
        <v>#VALUE!</v>
      </c>
      <c r="M139" s="115">
        <f>C139/決算入力!D$22</f>
        <v>0.16381073739981891</v>
      </c>
      <c r="N139" s="115">
        <f>D139/決算入力!G$22</f>
        <v>0.17728393207953252</v>
      </c>
      <c r="O139" s="115">
        <f>E139/決算入力!J$22</f>
        <v>0.15274946932654634</v>
      </c>
      <c r="P139" s="115">
        <f>F139/決算入力!M$22</f>
        <v>0.29929341105811696</v>
      </c>
      <c r="Q139" s="115" t="e">
        <f>G139/決算入力!P$22</f>
        <v>#VALUE!</v>
      </c>
    </row>
    <row r="140" spans="2:17" x14ac:dyDescent="0.4">
      <c r="C140" s="82"/>
      <c r="D140" s="82"/>
      <c r="E140" s="82"/>
      <c r="F140" s="82"/>
      <c r="G140" s="82"/>
      <c r="H140" s="98"/>
      <c r="I140" s="98"/>
      <c r="J140" s="98"/>
      <c r="K140" s="98"/>
      <c r="L140" s="98"/>
      <c r="M140" s="82"/>
      <c r="N140" s="82"/>
      <c r="O140" s="82"/>
      <c r="P140" s="82"/>
      <c r="Q140" s="82"/>
    </row>
    <row r="141" spans="2:17" x14ac:dyDescent="0.4">
      <c r="C141" s="66" t="s">
        <v>136</v>
      </c>
      <c r="D141" s="67"/>
      <c r="E141" s="67"/>
      <c r="F141" s="67"/>
      <c r="G141" s="68"/>
      <c r="H141" s="77"/>
      <c r="I141" s="1"/>
      <c r="J141" s="1"/>
      <c r="K141" s="1"/>
      <c r="L141" s="80"/>
    </row>
    <row r="142" spans="2:17" x14ac:dyDescent="0.4">
      <c r="B142" s="7" t="s">
        <v>137</v>
      </c>
      <c r="C142" s="69" t="s">
        <v>81</v>
      </c>
      <c r="D142" s="70" t="s">
        <v>82</v>
      </c>
      <c r="E142" s="71" t="s">
        <v>83</v>
      </c>
      <c r="F142" s="72" t="s">
        <v>84</v>
      </c>
      <c r="G142" s="73" t="s">
        <v>85</v>
      </c>
      <c r="H142" s="79"/>
      <c r="I142" s="80"/>
      <c r="J142" s="80"/>
      <c r="K142" s="80"/>
      <c r="L142" s="80"/>
    </row>
    <row r="143" spans="2:17" x14ac:dyDescent="0.4">
      <c r="B143" s="74">
        <f>B$54</f>
        <v>2025</v>
      </c>
      <c r="C143" s="115">
        <f>C139/(D9+C139+決算入力!D67)</f>
        <v>0.3039762709755035</v>
      </c>
      <c r="D143" s="115">
        <f>D139/(G9+D139+決算入力!G67)</f>
        <v>0.34632965851035225</v>
      </c>
      <c r="E143" s="115">
        <f>E139/(J9+E139+決算入力!J67)</f>
        <v>0.30707825570039488</v>
      </c>
      <c r="F143" s="115">
        <f>F139/(M9+F139+決算入力!M67)</f>
        <v>0.37851302444037355</v>
      </c>
      <c r="G143" s="115" t="e">
        <f>G139/(P9+G139+決算入力!P67)</f>
        <v>#DIV/0!</v>
      </c>
      <c r="H143" s="80"/>
      <c r="I143" s="80"/>
      <c r="J143" s="80"/>
      <c r="K143" s="80"/>
      <c r="L143" s="80"/>
    </row>
  </sheetData>
  <mergeCells count="4">
    <mergeCell ref="L1:M1"/>
    <mergeCell ref="L2:M2"/>
    <mergeCell ref="P1:Q1"/>
    <mergeCell ref="P2:Q2"/>
  </mergeCells>
  <phoneticPr fontId="2"/>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8"/>
  <sheetViews>
    <sheetView workbookViewId="0"/>
  </sheetViews>
  <sheetFormatPr defaultRowHeight="18.75" x14ac:dyDescent="0.4"/>
  <cols>
    <col min="1" max="1" width="2.75" style="116" customWidth="1"/>
  </cols>
  <sheetData>
    <row r="1" spans="1:6" x14ac:dyDescent="0.4">
      <c r="A1" s="95" t="s">
        <v>138</v>
      </c>
      <c r="B1" t="s">
        <v>139</v>
      </c>
    </row>
    <row r="2" spans="1:6" x14ac:dyDescent="0.4">
      <c r="B2" s="91" t="s">
        <v>140</v>
      </c>
      <c r="C2" s="91"/>
      <c r="D2" s="91"/>
      <c r="E2" s="91"/>
      <c r="F2" s="91"/>
    </row>
    <row r="3" spans="1:6" x14ac:dyDescent="0.4">
      <c r="B3" s="91" t="s">
        <v>141</v>
      </c>
    </row>
    <row r="4" spans="1:6" x14ac:dyDescent="0.4">
      <c r="B4" t="s">
        <v>142</v>
      </c>
    </row>
    <row r="5" spans="1:6" x14ac:dyDescent="0.4">
      <c r="B5" s="91"/>
      <c r="C5" s="91"/>
      <c r="D5" s="91"/>
      <c r="E5" s="91"/>
      <c r="F5" s="91"/>
    </row>
    <row r="8" spans="1:6" x14ac:dyDescent="0.4">
      <c r="B8" s="91"/>
      <c r="C8" s="91"/>
      <c r="D8" s="91"/>
      <c r="E8" s="91"/>
      <c r="F8" s="91"/>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EB1F-58B7-4377-A116-EF71F6F6B867}">
  <dimension ref="A1:Q74"/>
  <sheetViews>
    <sheetView tabSelected="1" zoomScale="110" zoomScaleNormal="110" workbookViewId="0"/>
  </sheetViews>
  <sheetFormatPr defaultRowHeight="13.5" x14ac:dyDescent="0.4"/>
  <cols>
    <col min="1" max="1" width="2.125" style="1" customWidth="1"/>
    <col min="2" max="2" width="16.125" style="1" customWidth="1"/>
    <col min="3" max="17" width="8.375" style="1" customWidth="1"/>
    <col min="18" max="19" width="9" style="1" customWidth="1"/>
    <col min="20" max="16384" width="9" style="1"/>
  </cols>
  <sheetData>
    <row r="1" spans="1:17" ht="14.1" customHeight="1" x14ac:dyDescent="0.4">
      <c r="K1" s="96" t="s">
        <v>0</v>
      </c>
      <c r="L1" s="153" t="s">
        <v>1</v>
      </c>
      <c r="M1" s="147"/>
      <c r="N1" s="96" t="s">
        <v>2</v>
      </c>
      <c r="O1" s="96" t="s">
        <v>3</v>
      </c>
      <c r="P1" s="153" t="s">
        <v>4</v>
      </c>
      <c r="Q1" s="147"/>
    </row>
    <row r="2" spans="1:17" ht="14.1" customHeight="1" x14ac:dyDescent="0.4">
      <c r="K2" s="132"/>
      <c r="L2" s="157"/>
      <c r="M2" s="158"/>
      <c r="N2" s="132"/>
      <c r="O2" s="132"/>
      <c r="P2" s="152">
        <f ca="1">NOW()</f>
        <v>46080.831258333332</v>
      </c>
      <c r="Q2" s="147"/>
    </row>
    <row r="3" spans="1:17" ht="14.1" customHeight="1" x14ac:dyDescent="0.4">
      <c r="A3" s="1" t="s">
        <v>6</v>
      </c>
    </row>
    <row r="4" spans="1:17" ht="14.1" customHeight="1" x14ac:dyDescent="0.15">
      <c r="B4" s="96"/>
      <c r="C4" s="15" t="e">
        <f>LEFT(F4,4)-1&amp;"年"</f>
        <v>#VALUE!</v>
      </c>
      <c r="D4" s="17" t="str">
        <f>G4</f>
        <v xml:space="preserve"> 月期</v>
      </c>
      <c r="E4" s="117" t="s">
        <v>7</v>
      </c>
      <c r="F4" s="15" t="e">
        <f>LEFT(I4,4)-1&amp;"年"</f>
        <v>#VALUE!</v>
      </c>
      <c r="G4" s="17" t="str">
        <f>J4</f>
        <v xml:space="preserve"> 月期</v>
      </c>
      <c r="H4" s="117" t="s">
        <v>7</v>
      </c>
      <c r="I4" s="15" t="e">
        <f>LEFT(L4,4)-1&amp;"年"</f>
        <v>#VALUE!</v>
      </c>
      <c r="J4" s="17" t="str">
        <f>M4</f>
        <v xml:space="preserve"> 月期</v>
      </c>
      <c r="K4" s="117" t="s">
        <v>7</v>
      </c>
      <c r="L4" s="15" t="e">
        <f>LEFT(O4,4)-1&amp;"年"</f>
        <v>#VALUE!</v>
      </c>
      <c r="M4" s="17" t="str">
        <f>P4</f>
        <v xml:space="preserve"> 月期</v>
      </c>
      <c r="N4" s="117" t="s">
        <v>7</v>
      </c>
      <c r="O4" s="15" t="str">
        <f>N2 &amp;" 年"</f>
        <v xml:space="preserve"> 年</v>
      </c>
      <c r="P4" s="17" t="str">
        <f>O2 &amp;" 月期"</f>
        <v xml:space="preserve"> 月期</v>
      </c>
      <c r="Q4" s="117" t="s">
        <v>7</v>
      </c>
    </row>
    <row r="5" spans="1:17" ht="14.1" customHeight="1" x14ac:dyDescent="0.15">
      <c r="B5" s="96" t="s">
        <v>8</v>
      </c>
      <c r="C5" s="15"/>
      <c r="D5" s="133"/>
      <c r="E5" s="16" t="s">
        <v>9</v>
      </c>
      <c r="F5" s="15"/>
      <c r="G5" s="133"/>
      <c r="H5" s="16" t="str">
        <f>E5</f>
        <v>百万</v>
      </c>
      <c r="I5" s="15"/>
      <c r="J5" s="133"/>
      <c r="K5" s="16" t="str">
        <f>E5</f>
        <v>百万</v>
      </c>
      <c r="L5" s="15"/>
      <c r="M5" s="134"/>
      <c r="N5" s="16" t="str">
        <f>E5</f>
        <v>百万</v>
      </c>
      <c r="O5" s="15"/>
      <c r="P5" s="52">
        <f>IF(P30,P30,IF(M30,M30,IF(J30,J30,IF(G30,G30,IF(D30,D30,0)))))</f>
        <v>0</v>
      </c>
      <c r="Q5" s="16" t="str">
        <f>H5</f>
        <v>百万</v>
      </c>
    </row>
    <row r="6" spans="1:17" ht="14.1" customHeight="1" x14ac:dyDescent="0.15">
      <c r="B6" s="96" t="s">
        <v>10</v>
      </c>
      <c r="C6" s="15"/>
      <c r="D6" s="134"/>
      <c r="E6" s="53" t="str">
        <f t="shared" ref="E6:E11" si="0">IF(D$5,D6/D$5,"-")</f>
        <v>-</v>
      </c>
      <c r="F6" s="15"/>
      <c r="G6" s="135"/>
      <c r="H6" s="53" t="str">
        <f t="shared" ref="H6:H11" si="1">IF(G$5,G6/G$5,"-")</f>
        <v>-</v>
      </c>
      <c r="I6" s="15"/>
      <c r="J6" s="135"/>
      <c r="K6" s="53" t="str">
        <f t="shared" ref="K6:K11" si="2">IF(J$5,J6/J$5,"-")</f>
        <v>-</v>
      </c>
      <c r="L6" s="15"/>
      <c r="M6" s="135"/>
      <c r="N6" s="53" t="str">
        <f t="shared" ref="N6:N11" si="3">IF(M$5,M6/M$5,"-")</f>
        <v>-</v>
      </c>
      <c r="O6" s="15"/>
      <c r="P6" s="135"/>
      <c r="Q6" s="53" t="str">
        <f t="shared" ref="Q6:Q11" si="4">IF(P$5,P6/P$5,"-")</f>
        <v>-</v>
      </c>
    </row>
    <row r="7" spans="1:17" ht="14.1" customHeight="1" x14ac:dyDescent="0.15">
      <c r="B7" s="96" t="s">
        <v>11</v>
      </c>
      <c r="C7" s="15"/>
      <c r="D7" s="135"/>
      <c r="E7" s="53" t="str">
        <f t="shared" si="0"/>
        <v>-</v>
      </c>
      <c r="F7" s="15"/>
      <c r="G7" s="133"/>
      <c r="H7" s="53" t="str">
        <f t="shared" si="1"/>
        <v>-</v>
      </c>
      <c r="I7" s="15"/>
      <c r="J7" s="133"/>
      <c r="K7" s="53" t="str">
        <f t="shared" si="2"/>
        <v>-</v>
      </c>
      <c r="L7" s="15"/>
      <c r="M7" s="133"/>
      <c r="N7" s="53" t="str">
        <f t="shared" si="3"/>
        <v>-</v>
      </c>
      <c r="O7" s="15"/>
      <c r="P7" s="133"/>
      <c r="Q7" s="53" t="str">
        <f t="shared" si="4"/>
        <v>-</v>
      </c>
    </row>
    <row r="8" spans="1:17" ht="14.1" customHeight="1" x14ac:dyDescent="0.15">
      <c r="B8" s="96" t="s">
        <v>12</v>
      </c>
      <c r="C8" s="15"/>
      <c r="D8" s="133"/>
      <c r="E8" s="53" t="str">
        <f t="shared" si="0"/>
        <v>-</v>
      </c>
      <c r="F8" s="15"/>
      <c r="G8" s="135"/>
      <c r="H8" s="53" t="str">
        <f t="shared" si="1"/>
        <v>-</v>
      </c>
      <c r="I8" s="15"/>
      <c r="J8" s="135"/>
      <c r="K8" s="53" t="str">
        <f t="shared" si="2"/>
        <v>-</v>
      </c>
      <c r="L8" s="15"/>
      <c r="M8" s="135"/>
      <c r="N8" s="53" t="str">
        <f t="shared" si="3"/>
        <v>-</v>
      </c>
      <c r="O8" s="15"/>
      <c r="P8" s="135"/>
      <c r="Q8" s="53" t="str">
        <f t="shared" si="4"/>
        <v>-</v>
      </c>
    </row>
    <row r="9" spans="1:17" ht="14.1" customHeight="1" x14ac:dyDescent="0.15">
      <c r="B9" s="96" t="s">
        <v>13</v>
      </c>
      <c r="C9" s="15"/>
      <c r="D9" s="135"/>
      <c r="E9" s="53" t="str">
        <f t="shared" si="0"/>
        <v>-</v>
      </c>
      <c r="F9" s="15"/>
      <c r="G9" s="133"/>
      <c r="H9" s="53" t="str">
        <f t="shared" si="1"/>
        <v>-</v>
      </c>
      <c r="I9" s="15"/>
      <c r="J9" s="133"/>
      <c r="K9" s="53" t="str">
        <f t="shared" si="2"/>
        <v>-</v>
      </c>
      <c r="L9" s="15"/>
      <c r="M9" s="133"/>
      <c r="N9" s="53" t="str">
        <f t="shared" si="3"/>
        <v>-</v>
      </c>
      <c r="O9" s="15"/>
      <c r="P9" s="133"/>
      <c r="Q9" s="53" t="str">
        <f t="shared" si="4"/>
        <v>-</v>
      </c>
    </row>
    <row r="10" spans="1:17" ht="14.1" customHeight="1" x14ac:dyDescent="0.15">
      <c r="B10" s="96" t="s">
        <v>14</v>
      </c>
      <c r="C10" s="15"/>
      <c r="D10" s="136"/>
      <c r="E10" s="53" t="str">
        <f t="shared" si="0"/>
        <v>-</v>
      </c>
      <c r="F10" s="15"/>
      <c r="G10" s="135"/>
      <c r="H10" s="53" t="str">
        <f t="shared" si="1"/>
        <v>-</v>
      </c>
      <c r="I10" s="15"/>
      <c r="J10" s="135"/>
      <c r="K10" s="53" t="str">
        <f t="shared" si="2"/>
        <v>-</v>
      </c>
      <c r="L10" s="15"/>
      <c r="M10" s="135"/>
      <c r="N10" s="53" t="str">
        <f t="shared" si="3"/>
        <v>-</v>
      </c>
      <c r="O10" s="15"/>
      <c r="P10" s="52">
        <f>IF(P31,P31,IF(M31,M31,IF(J31,J31,IF(G31,G31,IF(D31,D31,0)))))</f>
        <v>0</v>
      </c>
      <c r="Q10" s="53" t="str">
        <f t="shared" si="4"/>
        <v>-</v>
      </c>
    </row>
    <row r="11" spans="1:17" ht="14.1" customHeight="1" x14ac:dyDescent="0.15">
      <c r="B11" s="96" t="s">
        <v>15</v>
      </c>
      <c r="C11" s="15"/>
      <c r="D11" s="136"/>
      <c r="E11" s="53" t="str">
        <f t="shared" si="0"/>
        <v>-</v>
      </c>
      <c r="F11" s="15"/>
      <c r="G11" s="136"/>
      <c r="H11" s="53" t="str">
        <f t="shared" si="1"/>
        <v>-</v>
      </c>
      <c r="I11" s="15"/>
      <c r="J11" s="136"/>
      <c r="K11" s="53" t="str">
        <f t="shared" si="2"/>
        <v>-</v>
      </c>
      <c r="L11" s="15"/>
      <c r="M11" s="136"/>
      <c r="N11" s="53" t="str">
        <f t="shared" si="3"/>
        <v>-</v>
      </c>
      <c r="O11" s="15"/>
      <c r="P11" s="52">
        <f>IF(P32,P32,IF(M32,M32,IF(J32,J32,IF(G32,G32,IF(D32,D32,0)))))</f>
        <v>0</v>
      </c>
      <c r="Q11" s="53" t="str">
        <f t="shared" si="4"/>
        <v>-</v>
      </c>
    </row>
    <row r="12" spans="1:17" ht="14.1" customHeight="1" x14ac:dyDescent="0.4">
      <c r="B12" s="17"/>
      <c r="C12" s="17"/>
      <c r="D12" s="17"/>
      <c r="E12" s="17"/>
      <c r="F12" s="17"/>
      <c r="G12" s="17"/>
      <c r="H12" s="17"/>
      <c r="I12" s="17"/>
      <c r="J12" s="17"/>
      <c r="K12" s="17"/>
      <c r="L12" s="17"/>
      <c r="M12" s="17"/>
      <c r="N12" s="17"/>
      <c r="O12" s="17"/>
      <c r="P12" s="17"/>
      <c r="Q12" s="17"/>
    </row>
    <row r="13" spans="1:17" ht="14.1" customHeight="1" x14ac:dyDescent="0.15">
      <c r="B13" s="96" t="s">
        <v>16</v>
      </c>
      <c r="C13" s="15"/>
      <c r="D13" s="137"/>
      <c r="E13" s="16" t="s">
        <v>17</v>
      </c>
      <c r="F13" s="15"/>
      <c r="G13" s="137"/>
      <c r="H13" s="16" t="str">
        <f>E13</f>
        <v>千株</v>
      </c>
      <c r="I13" s="15"/>
      <c r="J13" s="137"/>
      <c r="K13" s="16" t="str">
        <f>H13</f>
        <v>千株</v>
      </c>
      <c r="L13" s="15"/>
      <c r="M13" s="135"/>
      <c r="N13" s="16" t="str">
        <f>K13</f>
        <v>千株</v>
      </c>
      <c r="O13" s="15"/>
      <c r="P13" s="52">
        <f>IF(P40,P40,IF(M40,M40,IF(J40,J40,IF(G40,G40,IF(D40,D40,0)))))</f>
        <v>0</v>
      </c>
      <c r="Q13" s="16" t="str">
        <f>N13</f>
        <v>千株</v>
      </c>
    </row>
    <row r="14" spans="1:17" ht="14.1" customHeight="1" x14ac:dyDescent="0.4">
      <c r="B14" s="96" t="s">
        <v>18</v>
      </c>
      <c r="C14" s="15"/>
      <c r="D14" s="54">
        <f>IF(D13,D10*1000*0.7/D13,0)</f>
        <v>0</v>
      </c>
      <c r="E14" s="55">
        <f>IF(D14,D26/D14,0)</f>
        <v>0</v>
      </c>
      <c r="F14" s="15"/>
      <c r="G14" s="54">
        <f>IF(G13,G10*1000*0.7/G13,0)</f>
        <v>0</v>
      </c>
      <c r="H14" s="55">
        <f>IF(G14,G26/G14,0)</f>
        <v>0</v>
      </c>
      <c r="I14" s="15"/>
      <c r="J14" s="54">
        <f>IF(J13,J10*1000*0.7/J13,0)</f>
        <v>0</v>
      </c>
      <c r="K14" s="55">
        <f>IF(J14,J26/J14,0)</f>
        <v>0</v>
      </c>
      <c r="L14" s="15"/>
      <c r="M14" s="54">
        <f>IF(M13,M10*1000*0.7/M13,0)</f>
        <v>0</v>
      </c>
      <c r="N14" s="55">
        <f>IF(M14,M26/M14,0)</f>
        <v>0</v>
      </c>
      <c r="O14" s="15"/>
      <c r="P14" s="54">
        <f>IF(P13,P10*1000*0.7/P13,0)</f>
        <v>0</v>
      </c>
      <c r="Q14" s="55">
        <f>IF(P14,P26/P14,0)</f>
        <v>0</v>
      </c>
    </row>
    <row r="15" spans="1:17" ht="14.1" customHeight="1" x14ac:dyDescent="0.4">
      <c r="B15" s="17"/>
      <c r="C15" s="17"/>
      <c r="D15" s="17"/>
      <c r="E15" s="17"/>
      <c r="F15" s="17"/>
      <c r="G15" s="17"/>
      <c r="H15" s="17"/>
      <c r="I15" s="17"/>
      <c r="J15" s="17"/>
      <c r="K15" s="17"/>
      <c r="L15" s="17"/>
      <c r="M15" s="17"/>
      <c r="N15" s="17"/>
      <c r="O15" s="17"/>
      <c r="P15" s="17"/>
      <c r="Q15" s="17"/>
    </row>
    <row r="16" spans="1:17" ht="14.1" customHeight="1" x14ac:dyDescent="0.15">
      <c r="B16" s="96"/>
      <c r="C16" s="123" t="s">
        <v>19</v>
      </c>
      <c r="D16" s="124" t="s">
        <v>20</v>
      </c>
      <c r="E16" s="117" t="s">
        <v>21</v>
      </c>
      <c r="F16" s="123" t="s">
        <v>19</v>
      </c>
      <c r="G16" s="124" t="s">
        <v>20</v>
      </c>
      <c r="H16" s="117" t="s">
        <v>21</v>
      </c>
      <c r="I16" s="123" t="s">
        <v>19</v>
      </c>
      <c r="J16" s="124" t="s">
        <v>20</v>
      </c>
      <c r="K16" s="117" t="s">
        <v>21</v>
      </c>
      <c r="L16" s="123" t="s">
        <v>19</v>
      </c>
      <c r="M16" s="124" t="s">
        <v>20</v>
      </c>
      <c r="N16" s="117" t="s">
        <v>21</v>
      </c>
      <c r="O16" s="123" t="s">
        <v>19</v>
      </c>
      <c r="P16" s="124" t="s">
        <v>20</v>
      </c>
      <c r="Q16" s="117" t="s">
        <v>21</v>
      </c>
    </row>
    <row r="17" spans="1:17" ht="14.1" customHeight="1" x14ac:dyDescent="0.15">
      <c r="B17" s="96" t="s">
        <v>22</v>
      </c>
      <c r="C17" s="139"/>
      <c r="D17" s="140"/>
      <c r="E17" s="57">
        <f>C17-D17</f>
        <v>0</v>
      </c>
      <c r="F17" s="140"/>
      <c r="G17" s="140"/>
      <c r="H17" s="57">
        <f>F17-G17</f>
        <v>0</v>
      </c>
      <c r="I17" s="140"/>
      <c r="J17" s="140"/>
      <c r="K17" s="57">
        <f>I17-J17</f>
        <v>0</v>
      </c>
      <c r="L17" s="140"/>
      <c r="M17" s="140"/>
      <c r="N17" s="57">
        <f>L17-M17</f>
        <v>0</v>
      </c>
      <c r="O17" s="57">
        <f>IF(O44,O44,IF(L44,L44,IF(I44,I44,IF(F44,F44,IF(C44,C44,0)))))</f>
        <v>0</v>
      </c>
      <c r="P17" s="57">
        <f>IF(P44,P44,IF(M44,M44,IF(J44,J44,IF(G44,G44,IF(D44,D44,0)))))</f>
        <v>0</v>
      </c>
      <c r="Q17" s="57">
        <f>O17-P17</f>
        <v>0</v>
      </c>
    </row>
    <row r="18" spans="1:17" ht="14.1" customHeight="1" x14ac:dyDescent="0.4">
      <c r="B18" s="96" t="s">
        <v>23</v>
      </c>
      <c r="C18" s="58">
        <f>IF(C17,D17/C17,0)</f>
        <v>0</v>
      </c>
      <c r="D18" s="52">
        <f>IF(D13,D17/D13*1000,0)</f>
        <v>0</v>
      </c>
      <c r="E18" s="55">
        <f>IF(D18,D26/D18,0)</f>
        <v>0</v>
      </c>
      <c r="F18" s="58">
        <f>IF(F17,G17/F17,0)</f>
        <v>0</v>
      </c>
      <c r="G18" s="52">
        <f>IF(G13,G17/G13*1000,0)</f>
        <v>0</v>
      </c>
      <c r="H18" s="55">
        <f>IF(G18,G26/G18,0)</f>
        <v>0</v>
      </c>
      <c r="I18" s="58">
        <f>IF(I17,J17/I17,0)</f>
        <v>0</v>
      </c>
      <c r="J18" s="52">
        <f>IF(J13,J17/J13*1000,0)</f>
        <v>0</v>
      </c>
      <c r="K18" s="55">
        <f>IF(J18,J26/J18,0)</f>
        <v>0</v>
      </c>
      <c r="L18" s="58">
        <f>IF(L17,M17/L17,0)</f>
        <v>0</v>
      </c>
      <c r="M18" s="52">
        <f>IF(M13,M17/M13*1000,0)</f>
        <v>0</v>
      </c>
      <c r="N18" s="55">
        <f>IF(M18,M26/M18,0)</f>
        <v>0</v>
      </c>
      <c r="O18" s="58">
        <f>IF(O17,P17/O17,0)</f>
        <v>0</v>
      </c>
      <c r="P18" s="52">
        <f>IF(P13,P17/P13*1000,0)</f>
        <v>0</v>
      </c>
      <c r="Q18" s="55">
        <f>IF(P18,P26/P18,0)</f>
        <v>0</v>
      </c>
    </row>
    <row r="19" spans="1:17" ht="14.1" customHeight="1" x14ac:dyDescent="0.4">
      <c r="B19" s="17" t="s">
        <v>24</v>
      </c>
      <c r="C19" s="88">
        <f>IF(D17*C17&gt;0,IF((1/(D17/C17+0.33))&lt;1,1,IF((1/(D17/C17+0.33))&gt;1.5,1.5,1/(D17/C17+0.33))),0)</f>
        <v>0</v>
      </c>
      <c r="D19" s="17"/>
      <c r="E19" s="17"/>
      <c r="F19" s="88">
        <f>IF(G17*F17&gt;0,IF((1/(G17/F17+0.33))&lt;1,1,IF((1/(G17/F17+0.33))&gt;1.5,1.5,1/(G17/F17+0.33))),0)</f>
        <v>0</v>
      </c>
      <c r="G19" s="17"/>
      <c r="H19" s="17"/>
      <c r="I19" s="88">
        <f>IF(J17*I17&gt;0,IF((1/(J17/I17+0.33))&lt;1,1,IF((1/(J17/I17+0.33))&gt;1.5,1.5,1/(J17/I17+0.33))),0)</f>
        <v>0</v>
      </c>
      <c r="J19" s="17"/>
      <c r="K19" s="17"/>
      <c r="L19" s="88">
        <f>IF(M17*L17&gt;0,IF((1/(M17/L17+0.33))&lt;1,1,IF((1/(M17/L17+0.33))&gt;1.5,1.5,1/(M17/L17+0.33))),0)</f>
        <v>0</v>
      </c>
      <c r="M19" s="17"/>
      <c r="N19" s="17"/>
      <c r="O19" s="88">
        <f>IF(P17*O17&gt;0,IF((1/(P17/O17+0.33))&lt;1,1,IF((1/(P17/O17+0.33))&gt;1.5,1.5,1/(P17/O17+0.33))),0)</f>
        <v>0</v>
      </c>
      <c r="P19" s="17"/>
      <c r="Q19" s="17"/>
    </row>
    <row r="20" spans="1:17" ht="14.1" customHeight="1" x14ac:dyDescent="0.15">
      <c r="B20" s="96"/>
      <c r="C20" s="123" t="s">
        <v>25</v>
      </c>
      <c r="D20" s="124" t="s">
        <v>26</v>
      </c>
      <c r="E20" s="117" t="s">
        <v>27</v>
      </c>
      <c r="F20" s="123" t="s">
        <v>25</v>
      </c>
      <c r="G20" s="124" t="s">
        <v>26</v>
      </c>
      <c r="H20" s="117" t="s">
        <v>27</v>
      </c>
      <c r="I20" s="123" t="s">
        <v>25</v>
      </c>
      <c r="J20" s="124" t="s">
        <v>26</v>
      </c>
      <c r="K20" s="117" t="s">
        <v>27</v>
      </c>
      <c r="L20" s="123" t="s">
        <v>25</v>
      </c>
      <c r="M20" s="124" t="s">
        <v>26</v>
      </c>
      <c r="N20" s="117" t="s">
        <v>27</v>
      </c>
      <c r="O20" s="123" t="s">
        <v>25</v>
      </c>
      <c r="P20" s="124" t="s">
        <v>26</v>
      </c>
      <c r="Q20" s="117" t="s">
        <v>27</v>
      </c>
    </row>
    <row r="21" spans="1:17" ht="14.1" customHeight="1" x14ac:dyDescent="0.15">
      <c r="B21" s="96" t="s">
        <v>28</v>
      </c>
      <c r="C21" s="140"/>
      <c r="D21" s="140"/>
      <c r="E21" s="142"/>
      <c r="F21" s="140"/>
      <c r="G21" s="140"/>
      <c r="H21" s="142"/>
      <c r="I21" s="140"/>
      <c r="J21" s="140"/>
      <c r="K21" s="142"/>
      <c r="L21" s="140"/>
      <c r="M21" s="140"/>
      <c r="N21" s="142"/>
      <c r="O21" s="57">
        <f>IF(O48,O48,IF(L48,L48,IF(I48,I48,IF(F48,F48,IF(C48,C48,0)))))</f>
        <v>0</v>
      </c>
      <c r="P21" s="57">
        <f>IF(P48,P48,IF(M48,M48,IF(J48,J48,IF(G48,G48,IF(D48,D48,0)))))</f>
        <v>0</v>
      </c>
      <c r="Q21" s="57">
        <f>IF(Q48,Q48,IF(N48,N48,IF(K48,K48,IF(H48,H48,IF(E48,E48,0)))))</f>
        <v>0</v>
      </c>
    </row>
    <row r="22" spans="1:17" ht="14.1" customHeight="1" x14ac:dyDescent="0.15">
      <c r="B22" s="96" t="s">
        <v>29</v>
      </c>
      <c r="C22" s="59"/>
      <c r="D22" s="143"/>
      <c r="E22" s="57">
        <f>C21+D21</f>
        <v>0</v>
      </c>
      <c r="F22" s="59"/>
      <c r="G22" s="143"/>
      <c r="H22" s="57">
        <f>F21+G21</f>
        <v>0</v>
      </c>
      <c r="I22" s="59"/>
      <c r="J22" s="143"/>
      <c r="K22" s="57">
        <f>I21+J21</f>
        <v>0</v>
      </c>
      <c r="L22" s="59"/>
      <c r="M22" s="143"/>
      <c r="N22" s="57">
        <f>L21+M21</f>
        <v>0</v>
      </c>
      <c r="O22" s="59"/>
      <c r="P22" s="52">
        <f>IF(P49,P49,IF(M49,M49,IF(J49,J49,IF(G49,G49,IF(D49,D49,0)))))</f>
        <v>0</v>
      </c>
      <c r="Q22" s="57">
        <f>O21+P21</f>
        <v>0</v>
      </c>
    </row>
    <row r="23" spans="1:17" ht="14.1" customHeight="1" x14ac:dyDescent="0.4">
      <c r="B23" s="17"/>
      <c r="C23" s="17"/>
      <c r="D23" s="17"/>
      <c r="E23" s="17"/>
      <c r="F23" s="17"/>
      <c r="G23" s="17"/>
      <c r="H23" s="17"/>
      <c r="I23" s="17"/>
      <c r="J23" s="17"/>
      <c r="K23" s="17"/>
      <c r="L23" s="17"/>
      <c r="M23" s="17"/>
      <c r="N23" s="17"/>
      <c r="O23" s="17"/>
      <c r="P23" s="17"/>
      <c r="Q23" s="17"/>
    </row>
    <row r="24" spans="1:17" ht="14.1" customHeight="1" x14ac:dyDescent="0.15">
      <c r="B24" s="96"/>
      <c r="C24" s="123" t="s">
        <v>30</v>
      </c>
      <c r="D24" s="124" t="s">
        <v>31</v>
      </c>
      <c r="E24" s="117" t="s">
        <v>32</v>
      </c>
      <c r="F24" s="123" t="s">
        <v>30</v>
      </c>
      <c r="G24" s="124" t="s">
        <v>31</v>
      </c>
      <c r="H24" s="117" t="s">
        <v>32</v>
      </c>
      <c r="I24" s="123" t="s">
        <v>30</v>
      </c>
      <c r="J24" s="124" t="s">
        <v>31</v>
      </c>
      <c r="K24" s="117" t="s">
        <v>32</v>
      </c>
      <c r="L24" s="123" t="s">
        <v>30</v>
      </c>
      <c r="M24" s="124" t="s">
        <v>31</v>
      </c>
      <c r="N24" s="117" t="s">
        <v>32</v>
      </c>
      <c r="O24" s="123" t="s">
        <v>30</v>
      </c>
      <c r="P24" s="124" t="s">
        <v>31</v>
      </c>
      <c r="Q24" s="117" t="s">
        <v>32</v>
      </c>
    </row>
    <row r="25" spans="1:17" ht="14.1" customHeight="1" x14ac:dyDescent="0.4">
      <c r="B25" s="96" t="s">
        <v>32</v>
      </c>
      <c r="C25" s="57">
        <f>D18*IF(C18&gt;=0.8,0.8,IF(C18&gt;=0.67,0.75,IF(C18&gt;=0.5,0.7,IF(C18&gt;=0.33,0.65,IF(C18&gt;=0.1,0.6,0.5)))))</f>
        <v>0</v>
      </c>
      <c r="D25" s="57">
        <f>IF(C19&gt;0,IF(D10&gt;0,IF(D14*C17,D14*(D10*0.7/C17*150),0),0)*C19,0)</f>
        <v>0</v>
      </c>
      <c r="E25" s="57">
        <f>C25+D25</f>
        <v>0</v>
      </c>
      <c r="F25" s="57">
        <f>G18*IF(F18&gt;=0.8,0.8,IF(F18&gt;=0.67,0.75,IF(F18&gt;=0.5,0.7,IF(F18&gt;=0.33,0.65,IF(F18&gt;=0.1,0.6,0.5)))))</f>
        <v>0</v>
      </c>
      <c r="G25" s="57">
        <f>IF(F19&gt;0,IF(G10&gt;0,IF(G14*F17,G14*(G10*0.7/F17*150),0),0)*F19,0)</f>
        <v>0</v>
      </c>
      <c r="H25" s="57">
        <f>F25+G25</f>
        <v>0</v>
      </c>
      <c r="I25" s="57">
        <f>J18*IF(I18&gt;=0.8,0.8,IF(I18&gt;=0.67,0.75,IF(I18&gt;=0.5,0.7,IF(I18&gt;=0.33,0.65,IF(I18&gt;=0.1,0.6,0.5)))))</f>
        <v>0</v>
      </c>
      <c r="J25" s="57">
        <f>IF(I19&gt;0,IF(J10&gt;0,IF(J14*I17,J14*(J10*0.7/I17*150),0),0)*I19,0)</f>
        <v>0</v>
      </c>
      <c r="K25" s="57">
        <f>I25+J25</f>
        <v>0</v>
      </c>
      <c r="L25" s="57">
        <f>M18*IF(L18&gt;=0.8,0.8,IF(L18&gt;=0.67,0.75,IF(L18&gt;=0.5,0.7,IF(L18&gt;=0.33,0.65,IF(L18&gt;=0.1,0.6,0.5)))))</f>
        <v>0</v>
      </c>
      <c r="M25" s="57">
        <f>IF(L19&gt;0,IF(M10&gt;0,IF(M14*L17,M14*(M10*0.7/L17*150),0),0)*L19,0)</f>
        <v>0</v>
      </c>
      <c r="N25" s="57">
        <f>L25+M25</f>
        <v>0</v>
      </c>
      <c r="O25" s="57">
        <f>P18*IF(O18&gt;=0.8,0.8,IF(O18&gt;=0.67,0.75,IF(O18&gt;=0.5,0.7,IF(O18&gt;=0.33,0.65,IF(O18&gt;=0.1,0.6,0.5)))))</f>
        <v>0</v>
      </c>
      <c r="P25" s="57">
        <f>IF(O19&gt;0,IF(P10&gt;0,IF(P14*O17,P14*(P10*0.7/O17*150),0),0)*O19,0)</f>
        <v>0</v>
      </c>
      <c r="Q25" s="57">
        <f>O25+P25</f>
        <v>0</v>
      </c>
    </row>
    <row r="26" spans="1:17" ht="14.1" customHeight="1" x14ac:dyDescent="0.15">
      <c r="B26" s="96" t="s">
        <v>33</v>
      </c>
      <c r="C26" s="21" t="e">
        <f>DATE(LEFT(C4,4),LEFT(D4,LEN(D4)-2)+1,0)</f>
        <v>#VALUE!</v>
      </c>
      <c r="D26" s="126"/>
      <c r="E26" s="61">
        <f>IF(E25,D26/E25,0)</f>
        <v>0</v>
      </c>
      <c r="F26" s="21" t="e">
        <f>DATE(LEFT(F4,4),LEFT(G4,LEN(G4)-2)+1,0)</f>
        <v>#VALUE!</v>
      </c>
      <c r="G26" s="126"/>
      <c r="H26" s="61">
        <f>IF(H25,G26/H25,0)</f>
        <v>0</v>
      </c>
      <c r="I26" s="21" t="e">
        <f>DATE(LEFT(I4,4),LEFT(J4,LEN(J4)-2)+1,0)</f>
        <v>#VALUE!</v>
      </c>
      <c r="J26" s="126"/>
      <c r="K26" s="61">
        <f>IF(K25,J26/K25,0)</f>
        <v>0</v>
      </c>
      <c r="L26" s="21" t="e">
        <f>DATE(LEFT(L4,4),LEFT(M4,LEN(M4)-2)+1,0)</f>
        <v>#VALUE!</v>
      </c>
      <c r="M26" s="126"/>
      <c r="N26" s="61">
        <f>IF(N25,M26/N25,0)</f>
        <v>0</v>
      </c>
      <c r="O26" s="21">
        <f ca="1">IF(P53,O53,TODAY())</f>
        <v>46080</v>
      </c>
      <c r="P26" s="52">
        <f>IF(P53,P53,IF(M53,M53,IF(J53,J53,IF(G53,G53,IF(D53,D53,0)))))</f>
        <v>0</v>
      </c>
      <c r="Q26" s="61">
        <f>IF(Q25,P26/Q25,0)</f>
        <v>0</v>
      </c>
    </row>
    <row r="27" spans="1:17" ht="14.1" customHeight="1" x14ac:dyDescent="0.4">
      <c r="B27" s="22" t="s">
        <v>34</v>
      </c>
      <c r="C27" s="90">
        <f>C25+(D25*2)</f>
        <v>0</v>
      </c>
      <c r="D27" s="22"/>
      <c r="E27" s="22"/>
      <c r="F27" s="90">
        <f>F25+(G25*2)</f>
        <v>0</v>
      </c>
      <c r="G27" s="22"/>
      <c r="H27" s="22"/>
      <c r="I27" s="90">
        <f>I25+(J25*2)</f>
        <v>0</v>
      </c>
      <c r="J27" s="22"/>
      <c r="K27" s="22"/>
      <c r="L27" s="90">
        <f>L25+(M25*2)</f>
        <v>0</v>
      </c>
      <c r="M27" s="22"/>
      <c r="N27" s="22"/>
      <c r="O27" s="90">
        <f>O25+(P25*2)</f>
        <v>0</v>
      </c>
      <c r="P27" s="22"/>
      <c r="Q27" s="22"/>
    </row>
    <row r="28" spans="1:17" ht="14.1" customHeight="1" x14ac:dyDescent="0.4">
      <c r="A28" s="1" t="s">
        <v>35</v>
      </c>
      <c r="B28" s="23"/>
      <c r="C28" s="23"/>
      <c r="D28" s="23"/>
      <c r="E28" s="23"/>
      <c r="F28" s="23"/>
      <c r="G28" s="23"/>
      <c r="H28" s="23"/>
      <c r="I28" s="23"/>
      <c r="J28" s="23"/>
      <c r="K28" s="23"/>
      <c r="L28" s="23"/>
      <c r="M28" s="23"/>
      <c r="N28" s="23"/>
      <c r="O28" s="23"/>
      <c r="P28" s="23"/>
      <c r="Q28" s="23"/>
    </row>
    <row r="29" spans="1:17" ht="14.1" customHeight="1" x14ac:dyDescent="0.15">
      <c r="B29" s="96"/>
      <c r="C29" s="127" t="s">
        <v>36</v>
      </c>
      <c r="D29" s="17"/>
      <c r="E29" s="117" t="s">
        <v>37</v>
      </c>
      <c r="F29" s="127" t="s">
        <v>38</v>
      </c>
      <c r="G29" s="17" t="str">
        <f>IF(G30&gt;0,IF(G32&gt;D32,"上方修正",IF(G32&lt;D32,"下方修正","据え置き")),"")</f>
        <v/>
      </c>
      <c r="H29" s="117" t="s">
        <v>37</v>
      </c>
      <c r="I29" s="127" t="s">
        <v>39</v>
      </c>
      <c r="J29" s="17" t="str">
        <f>IF(J30&gt;0,IF(J32&gt;G32,"上方修正",IF(J32&lt;G32,"下方修正","据え置き")),"")</f>
        <v/>
      </c>
      <c r="K29" s="117" t="s">
        <v>37</v>
      </c>
      <c r="L29" s="127" t="s">
        <v>40</v>
      </c>
      <c r="M29" s="17" t="str">
        <f>IF(M30&gt;0,IF(M32&gt;J32,"上方修正",IF(M32&lt;J32,"下方修正","据え置き")),"")</f>
        <v/>
      </c>
      <c r="N29" s="117" t="s">
        <v>37</v>
      </c>
      <c r="O29" s="127" t="s">
        <v>41</v>
      </c>
      <c r="P29" s="17" t="str">
        <f>IF(P30&gt;0,IF(P32&gt;M32,"上方修正",IF(P32&lt;M32,"下方修正","据え置き")),"")</f>
        <v/>
      </c>
      <c r="Q29" s="117" t="s">
        <v>37</v>
      </c>
    </row>
    <row r="30" spans="1:17" ht="14.1" customHeight="1" x14ac:dyDescent="0.15">
      <c r="B30" s="96" t="s">
        <v>8</v>
      </c>
      <c r="C30" s="64"/>
      <c r="D30" s="121"/>
      <c r="E30" s="53" t="str">
        <f>IF($M5,D30/$M5,"-")</f>
        <v>-</v>
      </c>
      <c r="F30" s="128"/>
      <c r="G30" s="121"/>
      <c r="H30" s="53" t="str">
        <f>IF($M5,G30/$M5,"-")</f>
        <v>-</v>
      </c>
      <c r="I30" s="128"/>
      <c r="J30" s="121"/>
      <c r="K30" s="53" t="str">
        <f>IF($M5,J30/$M5,"-")</f>
        <v>-</v>
      </c>
      <c r="L30" s="59"/>
      <c r="M30" s="119"/>
      <c r="N30" s="53" t="str">
        <f>IF($M5,M30/$M5,"-")</f>
        <v>-</v>
      </c>
      <c r="O30" s="59"/>
      <c r="P30" s="121"/>
      <c r="Q30" s="61" t="str">
        <f>IF($M5,P30/$M5,"-")</f>
        <v>-</v>
      </c>
    </row>
    <row r="31" spans="1:17" ht="14.1" customHeight="1" x14ac:dyDescent="0.15">
      <c r="B31" s="96" t="s">
        <v>14</v>
      </c>
      <c r="C31" s="64"/>
      <c r="D31" s="120"/>
      <c r="E31" s="53" t="str">
        <f>IF($M10&gt;0,D31/$M10,"-")</f>
        <v>-</v>
      </c>
      <c r="F31" s="129"/>
      <c r="G31" s="120"/>
      <c r="H31" s="53" t="str">
        <f>IF($M10&gt;0,G31/$M10,"-")</f>
        <v>-</v>
      </c>
      <c r="I31" s="129"/>
      <c r="J31" s="120"/>
      <c r="K31" s="53" t="str">
        <f>IF($M10&gt;0,J31/$M10,"-")</f>
        <v>-</v>
      </c>
      <c r="L31" s="59"/>
      <c r="M31" s="120"/>
      <c r="N31" s="53" t="str">
        <f>IF($M10&gt;0,M31/$M10,"-")</f>
        <v>-</v>
      </c>
      <c r="O31" s="59"/>
      <c r="P31" s="120"/>
      <c r="Q31" s="61" t="str">
        <f>IF($M10&gt;0,P31/$M10,"-")</f>
        <v>-</v>
      </c>
    </row>
    <row r="32" spans="1:17" ht="14.1" customHeight="1" x14ac:dyDescent="0.15">
      <c r="B32" s="96" t="s">
        <v>15</v>
      </c>
      <c r="C32" s="64"/>
      <c r="D32" s="119"/>
      <c r="E32" s="53" t="str">
        <f>IF($M11&gt;0,D32/$M11,"-")</f>
        <v>-</v>
      </c>
      <c r="F32" s="130"/>
      <c r="G32" s="119"/>
      <c r="H32" s="53" t="str">
        <f>IF($M11&gt;0,G32/$M11,"-")</f>
        <v>-</v>
      </c>
      <c r="I32" s="130"/>
      <c r="J32" s="119"/>
      <c r="K32" s="53" t="str">
        <f>IF($M11&gt;0,J32/$M11,"-")</f>
        <v>-</v>
      </c>
      <c r="L32" s="59"/>
      <c r="M32" s="118"/>
      <c r="N32" s="53" t="str">
        <f>IF($M11&gt;0,M32/$M11,"-")</f>
        <v>-</v>
      </c>
      <c r="O32" s="59"/>
      <c r="P32" s="119"/>
      <c r="Q32" s="61" t="str">
        <f>IF($M11&gt;0,P32/$M11,"-")</f>
        <v>-</v>
      </c>
    </row>
    <row r="33" spans="1:17" ht="14.1" customHeight="1" x14ac:dyDescent="0.4">
      <c r="B33" s="22"/>
      <c r="C33" s="22"/>
      <c r="D33" s="22"/>
      <c r="E33" s="22"/>
      <c r="F33" s="22"/>
      <c r="G33" s="22"/>
      <c r="H33" s="22"/>
      <c r="I33" s="22"/>
      <c r="J33" s="22"/>
      <c r="K33" s="22"/>
      <c r="L33" s="22"/>
      <c r="M33" s="22"/>
      <c r="N33" s="22"/>
      <c r="O33" s="22"/>
      <c r="P33" s="22"/>
      <c r="Q33" s="22"/>
    </row>
    <row r="34" spans="1:17" ht="14.1" customHeight="1" x14ac:dyDescent="0.4">
      <c r="A34" s="1" t="s">
        <v>42</v>
      </c>
      <c r="B34" s="23"/>
      <c r="C34" s="23"/>
      <c r="D34" s="23"/>
      <c r="E34" s="23"/>
      <c r="F34" s="23"/>
      <c r="G34" s="23"/>
      <c r="H34" s="23"/>
      <c r="I34" s="23"/>
      <c r="J34" s="23"/>
      <c r="K34" s="23"/>
      <c r="L34" s="23"/>
      <c r="M34" s="23"/>
      <c r="N34" s="23"/>
      <c r="O34" s="23"/>
      <c r="P34" s="23"/>
      <c r="Q34" s="23"/>
    </row>
    <row r="35" spans="1:17" ht="14.1" customHeight="1" x14ac:dyDescent="0.15">
      <c r="B35" s="96"/>
      <c r="C35" s="127" t="s">
        <v>36</v>
      </c>
      <c r="D35" s="17"/>
      <c r="E35" s="117" t="s">
        <v>37</v>
      </c>
      <c r="F35" s="127" t="s">
        <v>38</v>
      </c>
      <c r="G35" s="17"/>
      <c r="H35" s="117" t="s">
        <v>43</v>
      </c>
      <c r="I35" s="127" t="s">
        <v>39</v>
      </c>
      <c r="J35" s="17"/>
      <c r="K35" s="117" t="s">
        <v>43</v>
      </c>
      <c r="L35" s="127" t="s">
        <v>40</v>
      </c>
      <c r="M35" s="17"/>
      <c r="N35" s="117" t="s">
        <v>43</v>
      </c>
      <c r="O35" s="127" t="s">
        <v>44</v>
      </c>
      <c r="P35" s="17"/>
      <c r="Q35" s="117" t="s">
        <v>43</v>
      </c>
    </row>
    <row r="36" spans="1:17" ht="14.1" customHeight="1" x14ac:dyDescent="0.15">
      <c r="B36" s="96" t="s">
        <v>8</v>
      </c>
      <c r="C36" s="59"/>
      <c r="D36" s="63"/>
      <c r="E36" s="60"/>
      <c r="F36" s="58">
        <f>IF(F30,G36/F30,0)</f>
        <v>0</v>
      </c>
      <c r="G36" s="118"/>
      <c r="H36" s="61">
        <f>IF(G30,G36/G30,0)</f>
        <v>0</v>
      </c>
      <c r="I36" s="58">
        <f>IF(I30,J36/I30,0)</f>
        <v>0</v>
      </c>
      <c r="J36" s="133"/>
      <c r="K36" s="61">
        <f>IF(J30,J36/J30,0)</f>
        <v>0</v>
      </c>
      <c r="L36" s="59"/>
      <c r="M36" s="118"/>
      <c r="N36" s="61">
        <f>IF(M30,M36/M30,0)</f>
        <v>0</v>
      </c>
      <c r="O36" s="59"/>
      <c r="P36" s="138"/>
      <c r="Q36" s="61">
        <f>IF(P30,P36/P30,0)</f>
        <v>0</v>
      </c>
    </row>
    <row r="37" spans="1:17" ht="14.1" customHeight="1" x14ac:dyDescent="0.15">
      <c r="B37" s="96" t="s">
        <v>14</v>
      </c>
      <c r="C37" s="59"/>
      <c r="D37" s="63"/>
      <c r="E37" s="60"/>
      <c r="F37" s="58">
        <f>IF(F31,G37/F31,0)</f>
        <v>0</v>
      </c>
      <c r="G37" s="120"/>
      <c r="H37" s="61">
        <f>IF(G31,G37/G31,0)</f>
        <v>0</v>
      </c>
      <c r="I37" s="58">
        <f>IF(I31,J37/I31,0)</f>
        <v>0</v>
      </c>
      <c r="J37" s="135"/>
      <c r="K37" s="61">
        <f>IF(J31,J37/J31,0)</f>
        <v>0</v>
      </c>
      <c r="L37" s="59"/>
      <c r="M37" s="120"/>
      <c r="N37" s="61">
        <f>IF(M31,M37/M31,0)</f>
        <v>0</v>
      </c>
      <c r="O37" s="59"/>
      <c r="P37" s="138"/>
      <c r="Q37" s="61">
        <f>IF(P31,P37/P31,0)</f>
        <v>0</v>
      </c>
    </row>
    <row r="38" spans="1:17" ht="14.1" customHeight="1" x14ac:dyDescent="0.15">
      <c r="B38" s="96" t="s">
        <v>15</v>
      </c>
      <c r="C38" s="59"/>
      <c r="D38" s="63"/>
      <c r="E38" s="60"/>
      <c r="F38" s="58">
        <f>IF(F32,G38/F32,0)</f>
        <v>0</v>
      </c>
      <c r="G38" s="121"/>
      <c r="H38" s="61">
        <f>IF(G32,G38/G32,0)</f>
        <v>0</v>
      </c>
      <c r="I38" s="58">
        <f>IF(I32,J38/I32,0)</f>
        <v>0</v>
      </c>
      <c r="J38" s="136"/>
      <c r="K38" s="61">
        <f>IF(J32,J38/J32,0)</f>
        <v>0</v>
      </c>
      <c r="L38" s="59"/>
      <c r="M38" s="121"/>
      <c r="N38" s="61">
        <f>IF(M32,M38/M32,0)</f>
        <v>0</v>
      </c>
      <c r="O38" s="59"/>
      <c r="P38" s="138"/>
      <c r="Q38" s="61">
        <f>IF(P32,P38/P32,0)</f>
        <v>0</v>
      </c>
    </row>
    <row r="39" spans="1:17" ht="14.1" customHeight="1" x14ac:dyDescent="0.4">
      <c r="B39" s="17"/>
      <c r="C39" s="17"/>
      <c r="D39" s="17"/>
      <c r="E39" s="17"/>
      <c r="F39" s="17"/>
      <c r="G39" s="17"/>
      <c r="H39" s="17"/>
      <c r="I39" s="17"/>
      <c r="J39" s="17"/>
      <c r="K39" s="17"/>
      <c r="L39" s="17"/>
      <c r="M39" s="17"/>
      <c r="N39" s="17"/>
      <c r="O39" s="17"/>
      <c r="P39" s="17"/>
      <c r="Q39" s="17"/>
    </row>
    <row r="40" spans="1:17" ht="14.1" customHeight="1" x14ac:dyDescent="0.15">
      <c r="B40" s="96" t="s">
        <v>16</v>
      </c>
      <c r="C40" s="59"/>
      <c r="D40" s="52">
        <f>M13</f>
        <v>0</v>
      </c>
      <c r="E40" s="39" t="s">
        <v>17</v>
      </c>
      <c r="F40" s="59"/>
      <c r="G40" s="122"/>
      <c r="H40" s="39"/>
      <c r="I40" s="59"/>
      <c r="J40" s="137"/>
      <c r="K40" s="39"/>
      <c r="L40" s="59"/>
      <c r="M40" s="120"/>
      <c r="N40" s="39"/>
      <c r="O40" s="59"/>
      <c r="P40" s="138"/>
      <c r="Q40" s="39">
        <f>N40</f>
        <v>0</v>
      </c>
    </row>
    <row r="41" spans="1:17" ht="14.1" customHeight="1" x14ac:dyDescent="0.4">
      <c r="B41" s="96" t="s">
        <v>18</v>
      </c>
      <c r="C41" s="59"/>
      <c r="D41" s="54">
        <f>IF(D40,D31*1000*0.7/D40,0)</f>
        <v>0</v>
      </c>
      <c r="E41" s="55">
        <f>IF(D41,D53/D41,0)</f>
        <v>0</v>
      </c>
      <c r="F41" s="59"/>
      <c r="G41" s="54">
        <f>IF(G40,G31*1000*0.7/G40,0)</f>
        <v>0</v>
      </c>
      <c r="H41" s="55">
        <f>IF(G41,G53/G41,0)</f>
        <v>0</v>
      </c>
      <c r="I41" s="59"/>
      <c r="J41" s="54">
        <f>IF(J40,J31*1000*0.7/J40,0)</f>
        <v>0</v>
      </c>
      <c r="K41" s="18">
        <f>IF(J41,J53/J41,0)</f>
        <v>0</v>
      </c>
      <c r="L41" s="59"/>
      <c r="M41" s="54">
        <f>IF(M40,M31*1000*0.7/M40,0)</f>
        <v>0</v>
      </c>
      <c r="N41" s="55">
        <f>IF(M41,M53/M41,0)</f>
        <v>0</v>
      </c>
      <c r="O41" s="59"/>
      <c r="P41" s="54">
        <f>IF(P40,P31*1000*0.7/P40,0)</f>
        <v>0</v>
      </c>
      <c r="Q41" s="55">
        <f>IF(P41,P53/P41,0)</f>
        <v>0</v>
      </c>
    </row>
    <row r="42" spans="1:17" ht="14.1" customHeight="1" x14ac:dyDescent="0.4">
      <c r="B42" s="17"/>
      <c r="C42" s="17"/>
      <c r="D42" s="17"/>
      <c r="E42" s="17"/>
      <c r="F42" s="17"/>
      <c r="G42" s="17"/>
      <c r="H42" s="17"/>
      <c r="I42" s="17"/>
      <c r="J42" s="17"/>
      <c r="K42" s="17"/>
      <c r="L42" s="17"/>
      <c r="M42" s="17"/>
      <c r="N42" s="17"/>
      <c r="O42" s="17"/>
      <c r="P42" s="17"/>
      <c r="Q42" s="17"/>
    </row>
    <row r="43" spans="1:17" ht="14.1" customHeight="1" x14ac:dyDescent="0.15">
      <c r="B43" s="96"/>
      <c r="C43" s="123" t="s">
        <v>19</v>
      </c>
      <c r="D43" s="124" t="s">
        <v>20</v>
      </c>
      <c r="E43" s="117" t="s">
        <v>21</v>
      </c>
      <c r="F43" s="123" t="s">
        <v>19</v>
      </c>
      <c r="G43" s="124" t="s">
        <v>20</v>
      </c>
      <c r="H43" s="117" t="s">
        <v>21</v>
      </c>
      <c r="I43" s="123" t="s">
        <v>19</v>
      </c>
      <c r="J43" s="124" t="s">
        <v>20</v>
      </c>
      <c r="K43" s="117" t="s">
        <v>21</v>
      </c>
      <c r="L43" s="123" t="s">
        <v>19</v>
      </c>
      <c r="M43" s="124" t="s">
        <v>20</v>
      </c>
      <c r="N43" s="117" t="s">
        <v>21</v>
      </c>
      <c r="O43" s="123" t="s">
        <v>19</v>
      </c>
      <c r="P43" s="124" t="s">
        <v>20</v>
      </c>
      <c r="Q43" s="117" t="s">
        <v>21</v>
      </c>
    </row>
    <row r="44" spans="1:17" ht="14.1" customHeight="1" x14ac:dyDescent="0.15">
      <c r="B44" s="96" t="s">
        <v>22</v>
      </c>
      <c r="C44" s="57">
        <f>L17</f>
        <v>0</v>
      </c>
      <c r="D44" s="57">
        <f>M17</f>
        <v>0</v>
      </c>
      <c r="E44" s="57">
        <f>C44-D44</f>
        <v>0</v>
      </c>
      <c r="F44" s="125"/>
      <c r="G44" s="125"/>
      <c r="H44" s="57">
        <f>F44-G44</f>
        <v>0</v>
      </c>
      <c r="I44" s="140"/>
      <c r="J44" s="140"/>
      <c r="K44" s="57">
        <f>I44-J44</f>
        <v>0</v>
      </c>
      <c r="L44" s="125"/>
      <c r="M44" s="125"/>
      <c r="N44" s="57">
        <f>L44-M44</f>
        <v>0</v>
      </c>
      <c r="O44" s="141"/>
      <c r="P44" s="141"/>
      <c r="Q44" s="57">
        <f>O44-P44</f>
        <v>0</v>
      </c>
    </row>
    <row r="45" spans="1:17" ht="14.1" customHeight="1" x14ac:dyDescent="0.4">
      <c r="B45" s="96" t="s">
        <v>23</v>
      </c>
      <c r="C45" s="58">
        <f>IF(C44,D44/C44,0)</f>
        <v>0</v>
      </c>
      <c r="D45" s="52">
        <f>IF(D40,D44/D40*1000,0)</f>
        <v>0</v>
      </c>
      <c r="E45" s="55">
        <f>IF(D45,D40/D45,0)</f>
        <v>0</v>
      </c>
      <c r="F45" s="58">
        <f>IF(F44,G44/F44,0)</f>
        <v>0</v>
      </c>
      <c r="G45" s="52">
        <f>IF(G40,G44/G40*1000,0)</f>
        <v>0</v>
      </c>
      <c r="H45" s="55">
        <f>IF(G45,G40/G45,0)</f>
        <v>0</v>
      </c>
      <c r="I45" s="58">
        <f>IF(I44,J44/I44,0)</f>
        <v>0</v>
      </c>
      <c r="J45" s="52">
        <f>IF(J40,J44/J40*1000,0)</f>
        <v>0</v>
      </c>
      <c r="K45" s="55">
        <f>IF(J45,J40/J45,0)</f>
        <v>0</v>
      </c>
      <c r="L45" s="58">
        <f>IF(L44,M44/L44,0)</f>
        <v>0</v>
      </c>
      <c r="M45" s="52">
        <f>IF(M40,M44/M40*1000,0)</f>
        <v>0</v>
      </c>
      <c r="N45" s="55">
        <f>IF(M45,M40/M45,0)</f>
        <v>0</v>
      </c>
      <c r="O45" s="58">
        <f>IF(O44,P44/O44,0)</f>
        <v>0</v>
      </c>
      <c r="P45" s="52">
        <f>IF(P40,P44/P40*1000,0)</f>
        <v>0</v>
      </c>
      <c r="Q45" s="55">
        <f>IF(P45,P40/P45,0)</f>
        <v>0</v>
      </c>
    </row>
    <row r="46" spans="1:17" ht="14.1" customHeight="1" x14ac:dyDescent="0.4">
      <c r="B46" s="17" t="s">
        <v>24</v>
      </c>
      <c r="C46" s="89">
        <f>IF(D44*C44&gt;0,IF((1/(D44/C44+0.33))&lt;1,1,IF((1/(D44/C44+0.33))&gt;1.5,1.5,1/(D44/C44+0.33))),0)</f>
        <v>0</v>
      </c>
      <c r="D46" s="17"/>
      <c r="E46" s="17"/>
      <c r="F46" s="88">
        <f>IF(G44*F44&gt;0,IF((1/(G44/F44+0.33))&lt;1,1,IF((1/(G44/F44+0.33))&gt;1.5,1.5,1/(G44/F44+0.33))),0)</f>
        <v>0</v>
      </c>
      <c r="G46" s="17"/>
      <c r="H46" s="17"/>
      <c r="I46" s="88">
        <f>IF(J44*I44&gt;0,IF((1/(J44/I44+0.33))&lt;1,1,IF((1/(J44/I44+0.33))&gt;1.5,1.5,1/(J44/I44+0.33))),0)</f>
        <v>0</v>
      </c>
      <c r="J46" s="17"/>
      <c r="K46" s="17"/>
      <c r="L46" s="88">
        <f>IF(M44*L44&gt;0,IF((1/(M44/L44+0.33))&lt;1,1,IF((1/(M44/L44+0.33))&gt;1.5,1.5,1/(M44/L44+0.33))),0)</f>
        <v>0</v>
      </c>
      <c r="M46" s="17"/>
      <c r="N46" s="17"/>
      <c r="O46" s="89">
        <f>IF(P44*O44&gt;0,IF((1/(P44/O44+0.33))&lt;1,1,IF((1/(P44/O44+0.33))&gt;1.5,1.5,1/(P44/O44+0.33))),0)</f>
        <v>0</v>
      </c>
      <c r="P46" s="17"/>
      <c r="Q46" s="17"/>
    </row>
    <row r="47" spans="1:17" ht="14.1" customHeight="1" x14ac:dyDescent="0.15">
      <c r="B47" s="96"/>
      <c r="C47" s="123" t="s">
        <v>25</v>
      </c>
      <c r="D47" s="124" t="s">
        <v>26</v>
      </c>
      <c r="E47" s="117" t="s">
        <v>27</v>
      </c>
      <c r="F47" s="123" t="s">
        <v>25</v>
      </c>
      <c r="G47" s="124" t="s">
        <v>26</v>
      </c>
      <c r="H47" s="117" t="s">
        <v>27</v>
      </c>
      <c r="I47" s="123" t="s">
        <v>25</v>
      </c>
      <c r="J47" s="124" t="s">
        <v>26</v>
      </c>
      <c r="K47" s="117" t="s">
        <v>27</v>
      </c>
      <c r="L47" s="123" t="s">
        <v>25</v>
      </c>
      <c r="M47" s="124" t="s">
        <v>26</v>
      </c>
      <c r="N47" s="117" t="s">
        <v>27</v>
      </c>
      <c r="O47" s="123" t="s">
        <v>25</v>
      </c>
      <c r="P47" s="124" t="s">
        <v>26</v>
      </c>
      <c r="Q47" s="117" t="s">
        <v>27</v>
      </c>
    </row>
    <row r="48" spans="1:17" ht="14.1" customHeight="1" x14ac:dyDescent="0.15">
      <c r="B48" s="96" t="s">
        <v>28</v>
      </c>
      <c r="C48" s="57"/>
      <c r="D48" s="57"/>
      <c r="E48" s="57"/>
      <c r="F48" s="57"/>
      <c r="G48" s="57"/>
      <c r="H48" s="57"/>
      <c r="I48" s="140"/>
      <c r="J48" s="140"/>
      <c r="K48" s="142"/>
      <c r="L48" s="57"/>
      <c r="M48" s="57"/>
      <c r="N48" s="57"/>
      <c r="O48" s="141"/>
      <c r="P48" s="141"/>
      <c r="Q48" s="141"/>
    </row>
    <row r="49" spans="2:17" ht="14.1" customHeight="1" x14ac:dyDescent="0.15">
      <c r="B49" s="96" t="s">
        <v>29</v>
      </c>
      <c r="C49" s="64"/>
      <c r="D49" s="52">
        <f>M22</f>
        <v>0</v>
      </c>
      <c r="E49" s="57">
        <f>C48+D48</f>
        <v>0</v>
      </c>
      <c r="F49" s="64"/>
      <c r="G49" s="52"/>
      <c r="H49" s="57">
        <f>F48+G48</f>
        <v>0</v>
      </c>
      <c r="I49" s="64"/>
      <c r="J49" s="143"/>
      <c r="K49" s="57">
        <f>I48+J48</f>
        <v>0</v>
      </c>
      <c r="L49" s="64"/>
      <c r="M49" s="52"/>
      <c r="N49" s="57">
        <f>L48+M48</f>
        <v>0</v>
      </c>
      <c r="O49" s="64"/>
      <c r="P49" s="138"/>
      <c r="Q49" s="57">
        <f>O48+P48</f>
        <v>0</v>
      </c>
    </row>
    <row r="50" spans="2:17" ht="14.1" customHeight="1" x14ac:dyDescent="0.4">
      <c r="B50" s="17"/>
      <c r="C50" s="17"/>
      <c r="D50" s="17"/>
      <c r="E50" s="17"/>
      <c r="F50" s="17"/>
      <c r="G50" s="17"/>
      <c r="H50" s="17"/>
      <c r="I50" s="17"/>
      <c r="J50" s="17"/>
      <c r="K50" s="17"/>
      <c r="L50" s="17"/>
      <c r="M50" s="17"/>
      <c r="N50" s="17"/>
      <c r="O50" s="17"/>
      <c r="P50" s="17"/>
      <c r="Q50" s="17"/>
    </row>
    <row r="51" spans="2:17" ht="14.1" customHeight="1" x14ac:dyDescent="0.15">
      <c r="B51" s="96"/>
      <c r="C51" s="123" t="s">
        <v>30</v>
      </c>
      <c r="D51" s="124" t="s">
        <v>31</v>
      </c>
      <c r="E51" s="117" t="s">
        <v>32</v>
      </c>
      <c r="F51" s="123" t="s">
        <v>30</v>
      </c>
      <c r="G51" s="124" t="s">
        <v>31</v>
      </c>
      <c r="H51" s="117" t="s">
        <v>32</v>
      </c>
      <c r="I51" s="123" t="s">
        <v>30</v>
      </c>
      <c r="J51" s="124" t="s">
        <v>31</v>
      </c>
      <c r="K51" s="117" t="s">
        <v>32</v>
      </c>
      <c r="L51" s="123" t="s">
        <v>30</v>
      </c>
      <c r="M51" s="124" t="s">
        <v>31</v>
      </c>
      <c r="N51" s="117" t="s">
        <v>32</v>
      </c>
      <c r="O51" s="123" t="s">
        <v>30</v>
      </c>
      <c r="P51" s="124" t="s">
        <v>31</v>
      </c>
      <c r="Q51" s="117" t="s">
        <v>32</v>
      </c>
    </row>
    <row r="52" spans="2:17" ht="14.1" customHeight="1" x14ac:dyDescent="0.4">
      <c r="B52" s="96" t="s">
        <v>32</v>
      </c>
      <c r="C52" s="57">
        <f>D45*IF(C45&gt;=0.8,0.8,IF(C45&gt;=0.67,0.75,IF(C45&gt;=0.5,0.7,IF(C45&gt;=0.33,0.65,IF(C45&gt;=0.1,0.6,0.5)))))</f>
        <v>0</v>
      </c>
      <c r="D52" s="57">
        <f>IF(C46&gt;0,IF(D31&gt;0,IF(D41*C44,D41*(D31*0.7/C44*150),0),0)*C46,0)</f>
        <v>0</v>
      </c>
      <c r="E52" s="57">
        <f>C52+D52</f>
        <v>0</v>
      </c>
      <c r="F52" s="57">
        <f>G45*IF(F45&gt;=0.8,0.8,IF(F45&gt;=0.67,0.75,IF(F45&gt;=0.5,0.7,IF(F45&gt;=0.33,0.65,IF(F45&gt;=0.1,0.6,0.5)))))</f>
        <v>0</v>
      </c>
      <c r="G52" s="57">
        <f>IF(F46&gt;0,IF(G31&gt;0,IF(G41*F44,G41*(G31*0.7/F44*150),0),0)*F46,0)</f>
        <v>0</v>
      </c>
      <c r="H52" s="57">
        <f>F52+G52</f>
        <v>0</v>
      </c>
      <c r="I52" s="57">
        <f>J45*IF(I45&gt;=0.8,0.8,IF(I45&gt;=0.67,0.75,IF(I45&gt;=0.5,0.7,IF(I45&gt;=0.33,0.65,IF(I45&gt;=0.1,0.6,0.5)))))</f>
        <v>0</v>
      </c>
      <c r="J52" s="57">
        <f>IF(I46&gt;0,IF(J31&gt;0,IF(J41*I44,J41*(J31*0.7/I44*150),0),0)*I46,0)</f>
        <v>0</v>
      </c>
      <c r="K52" s="57">
        <f>I52+J52</f>
        <v>0</v>
      </c>
      <c r="L52" s="57">
        <f>M45*IF(L45&gt;=0.8,0.8,IF(L45&gt;=0.67,0.75,IF(L45&gt;=0.5,0.7,IF(L45&gt;=0.33,0.65,IF(L45&gt;=0.1,0.6,0.5)))))</f>
        <v>0</v>
      </c>
      <c r="M52" s="57">
        <f>IF(L46&gt;0,IF(M31&gt;0,IF(M41*L44,M41*(M31*0.7/L44*150),0),0)*L46,0)</f>
        <v>0</v>
      </c>
      <c r="N52" s="57">
        <f>L52+M52</f>
        <v>0</v>
      </c>
      <c r="O52" s="57">
        <f>P45*IF(O45&gt;=0.8,0.8,IF(O45&gt;=0.67,0.75,IF(O45&gt;=0.5,0.7,IF(O45&gt;=0.33,0.65,IF(O45&gt;=0.1,0.6,0.5)))))</f>
        <v>0</v>
      </c>
      <c r="P52" s="57">
        <f>IF(O46&gt;0,IF(P31&gt;0,IF(P41*O44,P41*(P31*0.7/O44*150),0),0)*O46,0)</f>
        <v>0</v>
      </c>
      <c r="Q52" s="57">
        <f>O52+P52</f>
        <v>0</v>
      </c>
    </row>
    <row r="53" spans="2:17" ht="14.1" customHeight="1" x14ac:dyDescent="0.15">
      <c r="B53" s="96" t="s">
        <v>33</v>
      </c>
      <c r="C53" s="21" t="e">
        <f>L26</f>
        <v>#VALUE!</v>
      </c>
      <c r="D53" s="52">
        <f>M26</f>
        <v>0</v>
      </c>
      <c r="E53" s="61">
        <f>IF(E52,D53/E52,0)</f>
        <v>0</v>
      </c>
      <c r="F53" s="21" t="e">
        <f>DATE(LEFT(O4,4),LEFT(P4,LEN(P4)-2)-8,0)</f>
        <v>#VALUE!</v>
      </c>
      <c r="G53" s="126"/>
      <c r="H53" s="61">
        <f>IF(H52,G53/H52,0)</f>
        <v>0</v>
      </c>
      <c r="I53" s="21" t="e">
        <f>DATE(LEFT(O4,4),LEFT(P4,LEN(P4)-2)-5,0)</f>
        <v>#VALUE!</v>
      </c>
      <c r="J53" s="126"/>
      <c r="K53" s="61">
        <f>IF(K52,J53/K52,0)</f>
        <v>0</v>
      </c>
      <c r="L53" s="21" t="e">
        <f>DATE(LEFT(O4,4),LEFT(P4,LEN(P4)-2)-2,0)</f>
        <v>#VALUE!</v>
      </c>
      <c r="M53" s="126"/>
      <c r="N53" s="61">
        <f>IF(N52,M53/N52,0)</f>
        <v>0</v>
      </c>
      <c r="O53" s="21" t="e">
        <f>DATE(LEFT(O4,4),LEFT(P4,LEN(P4)-2)+1,0)</f>
        <v>#VALUE!</v>
      </c>
      <c r="P53" s="52"/>
      <c r="Q53" s="61">
        <f>IF(Q52,P53/Q52,0)</f>
        <v>0</v>
      </c>
    </row>
    <row r="54" spans="2:17" ht="15.75" customHeight="1" x14ac:dyDescent="0.4">
      <c r="B54" s="22" t="s">
        <v>34</v>
      </c>
      <c r="C54" s="90">
        <f>C52+(D52*2)</f>
        <v>0</v>
      </c>
      <c r="F54" s="90">
        <f>F52+(G52*2)</f>
        <v>0</v>
      </c>
      <c r="I54" s="90">
        <f>I52+(J52*2)</f>
        <v>0</v>
      </c>
      <c r="J54" s="50"/>
      <c r="L54" s="90">
        <f>L52+(M52*2)</f>
        <v>0</v>
      </c>
      <c r="O54" s="90">
        <f>O52+(P52*2)</f>
        <v>0</v>
      </c>
    </row>
    <row r="56" spans="2:17" x14ac:dyDescent="0.4">
      <c r="B56" s="96"/>
      <c r="C56" s="15" t="s">
        <v>46</v>
      </c>
      <c r="D56" s="17" t="s">
        <v>47</v>
      </c>
      <c r="E56" s="131" t="s">
        <v>48</v>
      </c>
      <c r="F56" s="15" t="s">
        <v>46</v>
      </c>
      <c r="G56" s="17" t="s">
        <v>47</v>
      </c>
      <c r="H56" s="131" t="s">
        <v>48</v>
      </c>
      <c r="I56" s="15" t="s">
        <v>46</v>
      </c>
      <c r="J56" s="17" t="s">
        <v>47</v>
      </c>
      <c r="K56" s="131" t="s">
        <v>48</v>
      </c>
      <c r="L56" s="15" t="s">
        <v>46</v>
      </c>
      <c r="M56" s="17" t="s">
        <v>47</v>
      </c>
      <c r="N56" s="131" t="s">
        <v>48</v>
      </c>
      <c r="O56" s="15" t="s">
        <v>46</v>
      </c>
      <c r="P56" s="17" t="s">
        <v>47</v>
      </c>
      <c r="Q56" s="131" t="s">
        <v>48</v>
      </c>
    </row>
    <row r="57" spans="2:17" x14ac:dyDescent="0.4">
      <c r="B57" s="96" t="s">
        <v>49</v>
      </c>
      <c r="C57" s="141"/>
      <c r="D57" s="141"/>
      <c r="E57" s="141"/>
      <c r="F57" s="141"/>
      <c r="G57" s="141"/>
      <c r="H57" s="141"/>
      <c r="I57" s="141"/>
      <c r="J57" s="141"/>
      <c r="K57" s="141"/>
      <c r="L57" s="141"/>
      <c r="M57" s="141"/>
      <c r="N57" s="141"/>
      <c r="O57" s="141"/>
      <c r="P57" s="141"/>
      <c r="Q57" s="141"/>
    </row>
    <row r="58" spans="2:17" x14ac:dyDescent="0.4">
      <c r="B58" s="96" t="s">
        <v>50</v>
      </c>
      <c r="C58" s="96"/>
      <c r="D58" s="96"/>
      <c r="E58" s="96" t="e">
        <f>((C57+D57+E57)-D22)/E22</f>
        <v>#DIV/0!</v>
      </c>
      <c r="F58" s="96"/>
      <c r="G58" s="96"/>
      <c r="H58" s="96" t="e">
        <f>((F57+G57+H57)-G22)/H22</f>
        <v>#DIV/0!</v>
      </c>
      <c r="I58" s="96"/>
      <c r="J58" s="96"/>
      <c r="K58" s="96" t="e">
        <f>((I57+J57+K57)-J22)/K22</f>
        <v>#DIV/0!</v>
      </c>
      <c r="L58" s="96"/>
      <c r="M58" s="96"/>
      <c r="N58" s="96" t="e">
        <f>((L57+M57+N57)-M22)/N22</f>
        <v>#DIV/0!</v>
      </c>
      <c r="O58" s="96"/>
      <c r="P58" s="96"/>
      <c r="Q58" s="96" t="e">
        <f>((O57+P57+Q57)-P22)/Q22</f>
        <v>#DIV/0!</v>
      </c>
    </row>
    <row r="60" spans="2:17" x14ac:dyDescent="0.4">
      <c r="B60" s="96" t="s">
        <v>51</v>
      </c>
      <c r="C60" s="96"/>
      <c r="D60" s="141"/>
      <c r="E60" s="15" t="e">
        <f>D60/E22</f>
        <v>#DIV/0!</v>
      </c>
      <c r="F60" s="96"/>
      <c r="G60" s="141"/>
      <c r="H60" s="96" t="e">
        <f>G60/H22</f>
        <v>#DIV/0!</v>
      </c>
      <c r="I60" s="96"/>
      <c r="J60" s="141"/>
      <c r="K60" s="96" t="e">
        <f>J60/K22</f>
        <v>#DIV/0!</v>
      </c>
      <c r="L60" s="96"/>
      <c r="M60" s="141"/>
      <c r="N60" s="96" t="e">
        <f>M60/N22</f>
        <v>#DIV/0!</v>
      </c>
      <c r="O60" s="96"/>
      <c r="P60" s="141"/>
      <c r="Q60" s="96" t="e">
        <f>P60/Q22</f>
        <v>#DIV/0!</v>
      </c>
    </row>
    <row r="61" spans="2:17" x14ac:dyDescent="0.4">
      <c r="B61" s="96" t="s">
        <v>52</v>
      </c>
      <c r="C61" s="96"/>
      <c r="D61" s="141"/>
      <c r="E61" s="15" t="e">
        <f>D61/E22</f>
        <v>#DIV/0!</v>
      </c>
      <c r="F61" s="96"/>
      <c r="G61" s="141"/>
      <c r="H61" s="96" t="e">
        <f>G61/H22</f>
        <v>#DIV/0!</v>
      </c>
      <c r="I61" s="96"/>
      <c r="J61" s="141"/>
      <c r="K61" s="96" t="e">
        <f>J61/K22</f>
        <v>#DIV/0!</v>
      </c>
      <c r="L61" s="96"/>
      <c r="M61" s="141"/>
      <c r="N61" s="96" t="e">
        <f>M61/N22</f>
        <v>#DIV/0!</v>
      </c>
      <c r="O61" s="96"/>
      <c r="P61" s="141"/>
      <c r="Q61" s="96" t="e">
        <f>P61/Q22</f>
        <v>#DIV/0!</v>
      </c>
    </row>
    <row r="62" spans="2:17" x14ac:dyDescent="0.4">
      <c r="D62" s="99"/>
      <c r="G62" s="99"/>
      <c r="J62" s="99"/>
      <c r="M62" s="99"/>
      <c r="P62" s="99"/>
    </row>
    <row r="63" spans="2:17" x14ac:dyDescent="0.4">
      <c r="B63" s="96" t="s">
        <v>53</v>
      </c>
      <c r="C63" s="96"/>
      <c r="D63" s="141"/>
      <c r="E63" s="96"/>
      <c r="F63" s="96"/>
      <c r="G63" s="141"/>
      <c r="H63" s="96"/>
      <c r="I63" s="96"/>
      <c r="J63" s="141"/>
      <c r="K63" s="96"/>
      <c r="L63" s="96"/>
      <c r="M63" s="141"/>
      <c r="N63" s="96"/>
      <c r="O63" s="96"/>
      <c r="P63" s="141"/>
      <c r="Q63" s="96"/>
    </row>
    <row r="64" spans="2:17" x14ac:dyDescent="0.4">
      <c r="B64" s="96" t="s">
        <v>54</v>
      </c>
      <c r="C64" s="96"/>
      <c r="D64" s="141"/>
      <c r="E64" s="96"/>
      <c r="F64" s="96"/>
      <c r="G64" s="141"/>
      <c r="H64" s="96"/>
      <c r="I64" s="96"/>
      <c r="J64" s="141"/>
      <c r="K64" s="96"/>
      <c r="L64" s="96"/>
      <c r="M64" s="141"/>
      <c r="N64" s="96"/>
      <c r="O64" s="96"/>
      <c r="P64" s="141"/>
      <c r="Q64" s="96"/>
    </row>
    <row r="65" spans="2:17" x14ac:dyDescent="0.4">
      <c r="B65" s="96" t="s">
        <v>55</v>
      </c>
      <c r="C65" s="96"/>
      <c r="D65" s="141"/>
      <c r="E65" s="96"/>
      <c r="F65" s="96"/>
      <c r="G65" s="141"/>
      <c r="H65" s="96"/>
      <c r="I65" s="96"/>
      <c r="J65" s="141"/>
      <c r="K65" s="96"/>
      <c r="L65" s="96"/>
      <c r="M65" s="141"/>
      <c r="N65" s="96"/>
      <c r="O65" s="96"/>
      <c r="P65" s="141"/>
      <c r="Q65" s="96"/>
    </row>
    <row r="66" spans="2:17" x14ac:dyDescent="0.4">
      <c r="B66" s="96" t="s">
        <v>56</v>
      </c>
      <c r="C66" s="96"/>
      <c r="D66" s="141"/>
      <c r="E66" s="96"/>
      <c r="F66" s="96"/>
      <c r="G66" s="141"/>
      <c r="H66" s="96"/>
      <c r="I66" s="96"/>
      <c r="J66" s="141"/>
      <c r="K66" s="96"/>
      <c r="L66" s="96"/>
      <c r="M66" s="141"/>
      <c r="N66" s="96"/>
      <c r="O66" s="96"/>
      <c r="P66" s="141"/>
      <c r="Q66" s="96"/>
    </row>
    <row r="67" spans="2:17" x14ac:dyDescent="0.4">
      <c r="B67" s="96" t="s">
        <v>57</v>
      </c>
      <c r="C67" s="96"/>
      <c r="D67" s="141"/>
      <c r="E67" s="96"/>
      <c r="F67" s="96"/>
      <c r="G67" s="141"/>
      <c r="H67" s="96"/>
      <c r="I67" s="96"/>
      <c r="J67" s="141"/>
      <c r="K67" s="96"/>
      <c r="L67" s="96"/>
      <c r="M67" s="141"/>
      <c r="N67" s="96"/>
      <c r="O67" s="96"/>
      <c r="P67" s="141"/>
      <c r="Q67" s="96"/>
    </row>
    <row r="69" spans="2:17" x14ac:dyDescent="0.4">
      <c r="B69" s="1" t="s">
        <v>58</v>
      </c>
      <c r="E69" s="1" t="s">
        <v>59</v>
      </c>
    </row>
    <row r="70" spans="2:17" x14ac:dyDescent="0.4">
      <c r="B70" s="1" t="s">
        <v>60</v>
      </c>
      <c r="E70" s="1" t="s">
        <v>61</v>
      </c>
      <c r="F70" s="1" t="s">
        <v>62</v>
      </c>
    </row>
    <row r="71" spans="2:17" x14ac:dyDescent="0.4">
      <c r="B71" s="1" t="s">
        <v>63</v>
      </c>
      <c r="E71" s="1" t="s">
        <v>64</v>
      </c>
      <c r="F71" s="1" t="s">
        <v>65</v>
      </c>
    </row>
    <row r="72" spans="2:17" x14ac:dyDescent="0.4">
      <c r="B72" s="1" t="s">
        <v>66</v>
      </c>
      <c r="E72" s="1" t="s">
        <v>67</v>
      </c>
      <c r="F72" s="1" t="s">
        <v>68</v>
      </c>
    </row>
    <row r="73" spans="2:17" x14ac:dyDescent="0.4">
      <c r="B73" s="1" t="s">
        <v>69</v>
      </c>
      <c r="E73" s="1" t="s">
        <v>70</v>
      </c>
      <c r="F73" s="1" t="s">
        <v>71</v>
      </c>
    </row>
    <row r="74" spans="2:17" x14ac:dyDescent="0.4">
      <c r="E74" s="1" t="s">
        <v>72</v>
      </c>
      <c r="F74" s="1" t="s">
        <v>73</v>
      </c>
    </row>
  </sheetData>
  <mergeCells count="4">
    <mergeCell ref="L1:M1"/>
    <mergeCell ref="P1:Q1"/>
    <mergeCell ref="L2:M2"/>
    <mergeCell ref="P2:Q2"/>
  </mergeCells>
  <phoneticPr fontId="2"/>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40969-9498-4D84-8161-9C16F3C4748C}">
  <dimension ref="A2:K33"/>
  <sheetViews>
    <sheetView topLeftCell="H1" zoomScale="110" zoomScaleNormal="110" workbookViewId="0">
      <selection activeCell="Z15" sqref="Z15"/>
    </sheetView>
  </sheetViews>
  <sheetFormatPr defaultRowHeight="18.75" x14ac:dyDescent="0.4"/>
  <cols>
    <col min="1" max="1" width="13.75" customWidth="1"/>
    <col min="8" max="8" width="108.625" customWidth="1"/>
  </cols>
  <sheetData>
    <row r="2" spans="1:11" x14ac:dyDescent="0.4">
      <c r="A2" t="s">
        <v>185</v>
      </c>
      <c r="K2" t="s">
        <v>186</v>
      </c>
    </row>
    <row r="3" spans="1:11" x14ac:dyDescent="0.4">
      <c r="A3" t="s">
        <v>143</v>
      </c>
      <c r="K3" t="s">
        <v>198</v>
      </c>
    </row>
    <row r="4" spans="1:11" x14ac:dyDescent="0.4">
      <c r="A4" t="s">
        <v>188</v>
      </c>
      <c r="K4" t="s">
        <v>187</v>
      </c>
    </row>
    <row r="5" spans="1:11" x14ac:dyDescent="0.4">
      <c r="A5" s="145" t="s">
        <v>144</v>
      </c>
      <c r="B5" s="155" t="s">
        <v>145</v>
      </c>
      <c r="C5" s="155"/>
      <c r="D5" s="155"/>
      <c r="E5" s="155"/>
      <c r="F5" s="155"/>
      <c r="G5" s="155"/>
      <c r="H5" s="155"/>
      <c r="K5" t="s">
        <v>189</v>
      </c>
    </row>
    <row r="6" spans="1:11" x14ac:dyDescent="0.4">
      <c r="A6" s="144" t="s">
        <v>146</v>
      </c>
      <c r="B6" s="154" t="s">
        <v>149</v>
      </c>
      <c r="C6" s="154"/>
      <c r="D6" s="154"/>
      <c r="E6" s="154"/>
      <c r="F6" s="154"/>
      <c r="G6" s="154"/>
      <c r="H6" s="154"/>
      <c r="K6" t="s">
        <v>190</v>
      </c>
    </row>
    <row r="7" spans="1:11" x14ac:dyDescent="0.4">
      <c r="A7" s="144" t="s">
        <v>147</v>
      </c>
      <c r="B7" s="154" t="s">
        <v>212</v>
      </c>
      <c r="C7" s="154"/>
      <c r="D7" s="154"/>
      <c r="E7" s="154"/>
      <c r="F7" s="154"/>
      <c r="G7" s="154"/>
      <c r="H7" s="154"/>
      <c r="K7" t="s">
        <v>191</v>
      </c>
    </row>
    <row r="8" spans="1:11" x14ac:dyDescent="0.4">
      <c r="A8" s="144" t="s">
        <v>150</v>
      </c>
      <c r="B8" s="154" t="s">
        <v>148</v>
      </c>
      <c r="C8" s="154"/>
      <c r="D8" s="154"/>
      <c r="E8" s="154"/>
      <c r="F8" s="154"/>
      <c r="G8" s="154"/>
      <c r="H8" s="154"/>
      <c r="K8" t="s">
        <v>192</v>
      </c>
    </row>
    <row r="9" spans="1:11" x14ac:dyDescent="0.4">
      <c r="A9" s="144" t="s">
        <v>151</v>
      </c>
      <c r="B9" s="156" t="s">
        <v>201</v>
      </c>
      <c r="C9" s="154"/>
      <c r="D9" s="154"/>
      <c r="E9" s="154"/>
      <c r="F9" s="154"/>
      <c r="G9" s="154"/>
      <c r="H9" s="154"/>
      <c r="K9" t="s">
        <v>193</v>
      </c>
    </row>
    <row r="10" spans="1:11" x14ac:dyDescent="0.4">
      <c r="A10" s="144" t="s">
        <v>152</v>
      </c>
      <c r="B10" s="154" t="s">
        <v>202</v>
      </c>
      <c r="C10" s="154"/>
      <c r="D10" s="154"/>
      <c r="E10" s="154"/>
      <c r="F10" s="154"/>
      <c r="G10" s="154"/>
      <c r="H10" s="154"/>
      <c r="K10" t="s">
        <v>194</v>
      </c>
    </row>
    <row r="11" spans="1:11" x14ac:dyDescent="0.4">
      <c r="A11" s="144" t="s">
        <v>153</v>
      </c>
      <c r="B11" s="154" t="s">
        <v>203</v>
      </c>
      <c r="C11" s="154"/>
      <c r="D11" s="154"/>
      <c r="E11" s="154"/>
      <c r="F11" s="154"/>
      <c r="G11" s="154"/>
      <c r="H11" s="154"/>
      <c r="K11" t="s">
        <v>195</v>
      </c>
    </row>
    <row r="12" spans="1:11" x14ac:dyDescent="0.4">
      <c r="A12" s="144" t="s">
        <v>154</v>
      </c>
      <c r="B12" s="154" t="s">
        <v>204</v>
      </c>
      <c r="C12" s="154"/>
      <c r="D12" s="154"/>
      <c r="E12" s="154"/>
      <c r="F12" s="154"/>
      <c r="G12" s="154"/>
      <c r="H12" s="154"/>
      <c r="K12" t="s">
        <v>196</v>
      </c>
    </row>
    <row r="13" spans="1:11" x14ac:dyDescent="0.4">
      <c r="A13" s="144" t="s">
        <v>155</v>
      </c>
      <c r="B13" s="154" t="s">
        <v>205</v>
      </c>
      <c r="C13" s="154"/>
      <c r="D13" s="154"/>
      <c r="E13" s="154"/>
      <c r="F13" s="154"/>
      <c r="G13" s="154"/>
      <c r="H13" s="154"/>
      <c r="K13" t="s">
        <v>197</v>
      </c>
    </row>
    <row r="14" spans="1:11" x14ac:dyDescent="0.4">
      <c r="A14" s="144" t="s">
        <v>156</v>
      </c>
      <c r="B14" s="154" t="s">
        <v>206</v>
      </c>
      <c r="C14" s="154"/>
      <c r="D14" s="154"/>
      <c r="E14" s="154"/>
      <c r="F14" s="154"/>
      <c r="G14" s="154"/>
      <c r="H14" s="154"/>
    </row>
    <row r="15" spans="1:11" x14ac:dyDescent="0.4">
      <c r="A15" s="144" t="s">
        <v>157</v>
      </c>
      <c r="B15" s="154" t="s">
        <v>207</v>
      </c>
      <c r="C15" s="154"/>
      <c r="D15" s="154"/>
      <c r="E15" s="154"/>
      <c r="F15" s="154"/>
      <c r="G15" s="154"/>
      <c r="H15" s="154"/>
    </row>
    <row r="16" spans="1:11" x14ac:dyDescent="0.4">
      <c r="A16" s="144" t="s">
        <v>158</v>
      </c>
      <c r="B16" s="154" t="s">
        <v>213</v>
      </c>
      <c r="C16" s="154"/>
      <c r="D16" s="154"/>
      <c r="E16" s="154"/>
      <c r="F16" s="154"/>
      <c r="G16" s="154"/>
      <c r="H16" s="154"/>
    </row>
    <row r="17" spans="1:8" x14ac:dyDescent="0.4">
      <c r="A17" s="144" t="s">
        <v>159</v>
      </c>
      <c r="B17" s="154" t="s">
        <v>214</v>
      </c>
      <c r="C17" s="154"/>
      <c r="D17" s="154"/>
      <c r="E17" s="154"/>
      <c r="F17" s="154"/>
      <c r="G17" s="154"/>
      <c r="H17" s="154"/>
    </row>
    <row r="18" spans="1:8" x14ac:dyDescent="0.4">
      <c r="A18" s="144" t="s">
        <v>160</v>
      </c>
      <c r="B18" s="154" t="s">
        <v>215</v>
      </c>
      <c r="C18" s="154"/>
      <c r="D18" s="154"/>
      <c r="E18" s="154"/>
      <c r="F18" s="154"/>
      <c r="G18" s="154"/>
      <c r="H18" s="154"/>
    </row>
    <row r="19" spans="1:8" x14ac:dyDescent="0.4">
      <c r="A19" s="144" t="s">
        <v>161</v>
      </c>
      <c r="B19" s="154" t="s">
        <v>208</v>
      </c>
      <c r="C19" s="154"/>
      <c r="D19" s="154"/>
      <c r="E19" s="154"/>
      <c r="F19" s="154"/>
      <c r="G19" s="154"/>
      <c r="H19" s="154"/>
    </row>
    <row r="20" spans="1:8" x14ac:dyDescent="0.4">
      <c r="A20" s="144" t="s">
        <v>162</v>
      </c>
      <c r="B20" s="154" t="s">
        <v>209</v>
      </c>
      <c r="C20" s="154"/>
      <c r="D20" s="154"/>
      <c r="E20" s="154"/>
      <c r="F20" s="154"/>
      <c r="G20" s="154"/>
      <c r="H20" s="154"/>
    </row>
    <row r="21" spans="1:8" x14ac:dyDescent="0.4">
      <c r="A21" s="144" t="s">
        <v>163</v>
      </c>
      <c r="B21" s="154" t="s">
        <v>210</v>
      </c>
      <c r="C21" s="154"/>
      <c r="D21" s="154"/>
      <c r="E21" s="154"/>
      <c r="F21" s="154"/>
      <c r="G21" s="154"/>
      <c r="H21" s="154"/>
    </row>
    <row r="22" spans="1:8" x14ac:dyDescent="0.4">
      <c r="A22" s="144" t="s">
        <v>164</v>
      </c>
      <c r="B22" s="154" t="s">
        <v>211</v>
      </c>
      <c r="C22" s="154"/>
      <c r="D22" s="154"/>
      <c r="E22" s="154"/>
      <c r="F22" s="154"/>
      <c r="G22" s="154"/>
      <c r="H22" s="154"/>
    </row>
    <row r="23" spans="1:8" x14ac:dyDescent="0.4">
      <c r="A23" s="144" t="s">
        <v>165</v>
      </c>
      <c r="B23" s="154" t="s">
        <v>175</v>
      </c>
      <c r="C23" s="154"/>
      <c r="D23" s="154"/>
      <c r="E23" s="154"/>
      <c r="F23" s="154"/>
      <c r="G23" s="154"/>
      <c r="H23" s="154"/>
    </row>
    <row r="24" spans="1:8" x14ac:dyDescent="0.4">
      <c r="A24" s="144" t="s">
        <v>166</v>
      </c>
      <c r="B24" s="154" t="s">
        <v>176</v>
      </c>
      <c r="C24" s="154"/>
      <c r="D24" s="154"/>
      <c r="E24" s="154"/>
      <c r="F24" s="154"/>
      <c r="G24" s="154"/>
      <c r="H24" s="154"/>
    </row>
    <row r="25" spans="1:8" x14ac:dyDescent="0.4">
      <c r="A25" s="144" t="s">
        <v>167</v>
      </c>
      <c r="B25" s="154" t="s">
        <v>177</v>
      </c>
      <c r="C25" s="154"/>
      <c r="D25" s="154"/>
      <c r="E25" s="154"/>
      <c r="F25" s="154"/>
      <c r="G25" s="154"/>
      <c r="H25" s="154"/>
    </row>
    <row r="26" spans="1:8" x14ac:dyDescent="0.4">
      <c r="A26" s="144" t="s">
        <v>168</v>
      </c>
      <c r="B26" s="154" t="s">
        <v>178</v>
      </c>
      <c r="C26" s="154"/>
      <c r="D26" s="154"/>
      <c r="E26" s="154"/>
      <c r="F26" s="154"/>
      <c r="G26" s="154"/>
      <c r="H26" s="154"/>
    </row>
    <row r="27" spans="1:8" x14ac:dyDescent="0.4">
      <c r="A27" s="144" t="s">
        <v>169</v>
      </c>
      <c r="B27" s="154" t="s">
        <v>179</v>
      </c>
      <c r="C27" s="154"/>
      <c r="D27" s="154"/>
      <c r="E27" s="154"/>
      <c r="F27" s="154"/>
      <c r="G27" s="154"/>
      <c r="H27" s="154"/>
    </row>
    <row r="28" spans="1:8" x14ac:dyDescent="0.4">
      <c r="A28" s="144" t="s">
        <v>171</v>
      </c>
      <c r="B28" s="154" t="s">
        <v>180</v>
      </c>
      <c r="C28" s="154"/>
      <c r="D28" s="154"/>
      <c r="E28" s="154"/>
      <c r="F28" s="154"/>
      <c r="G28" s="154"/>
      <c r="H28" s="154"/>
    </row>
    <row r="29" spans="1:8" x14ac:dyDescent="0.4">
      <c r="A29" s="144" t="s">
        <v>172</v>
      </c>
      <c r="B29" s="154" t="s">
        <v>181</v>
      </c>
      <c r="C29" s="154"/>
      <c r="D29" s="154"/>
      <c r="E29" s="154"/>
      <c r="F29" s="154"/>
      <c r="G29" s="154"/>
      <c r="H29" s="154"/>
    </row>
    <row r="30" spans="1:8" x14ac:dyDescent="0.4">
      <c r="A30" s="144" t="s">
        <v>170</v>
      </c>
      <c r="B30" s="154" t="s">
        <v>182</v>
      </c>
      <c r="C30" s="154"/>
      <c r="D30" s="154"/>
      <c r="E30" s="154"/>
      <c r="F30" s="154"/>
      <c r="G30" s="154"/>
      <c r="H30" s="154"/>
    </row>
    <row r="31" spans="1:8" x14ac:dyDescent="0.4">
      <c r="A31" s="144" t="s">
        <v>173</v>
      </c>
      <c r="B31" s="154" t="s">
        <v>183</v>
      </c>
      <c r="C31" s="154"/>
      <c r="D31" s="154"/>
      <c r="E31" s="154"/>
      <c r="F31" s="154"/>
      <c r="G31" s="154"/>
      <c r="H31" s="154"/>
    </row>
    <row r="32" spans="1:8" x14ac:dyDescent="0.4">
      <c r="A32" s="144" t="s">
        <v>174</v>
      </c>
      <c r="B32" s="154" t="s">
        <v>184</v>
      </c>
      <c r="C32" s="154"/>
      <c r="D32" s="154"/>
      <c r="E32" s="154"/>
      <c r="F32" s="154"/>
      <c r="G32" s="154"/>
      <c r="H32" s="154"/>
    </row>
    <row r="33" spans="1:8" x14ac:dyDescent="0.4">
      <c r="A33" s="144" t="s">
        <v>199</v>
      </c>
      <c r="B33" s="154" t="s">
        <v>200</v>
      </c>
      <c r="C33" s="154"/>
      <c r="D33" s="154"/>
      <c r="E33" s="154"/>
      <c r="F33" s="154"/>
      <c r="G33" s="154"/>
      <c r="H33" s="154"/>
    </row>
  </sheetData>
  <mergeCells count="29">
    <mergeCell ref="B21:H21"/>
    <mergeCell ref="B20:H20"/>
    <mergeCell ref="B19:H19"/>
    <mergeCell ref="B6:H6"/>
    <mergeCell ref="B15:H15"/>
    <mergeCell ref="B14:H14"/>
    <mergeCell ref="B13:H13"/>
    <mergeCell ref="B12:H12"/>
    <mergeCell ref="B11:H11"/>
    <mergeCell ref="B10:H10"/>
    <mergeCell ref="B9:H9"/>
    <mergeCell ref="B8:H8"/>
    <mergeCell ref="B7:H7"/>
    <mergeCell ref="B25:H25"/>
    <mergeCell ref="B33:H33"/>
    <mergeCell ref="B17:H17"/>
    <mergeCell ref="B16:H16"/>
    <mergeCell ref="B5:H5"/>
    <mergeCell ref="B32:H32"/>
    <mergeCell ref="B31:H31"/>
    <mergeCell ref="B30:H30"/>
    <mergeCell ref="B29:H29"/>
    <mergeCell ref="B28:H28"/>
    <mergeCell ref="B27:H27"/>
    <mergeCell ref="B26:H26"/>
    <mergeCell ref="B18:H18"/>
    <mergeCell ref="B24:H24"/>
    <mergeCell ref="B23:H23"/>
    <mergeCell ref="B22:H22"/>
  </mergeCells>
  <phoneticPr fontId="2"/>
  <pageMargins left="0.7" right="0.7" top="0.75" bottom="0.75" header="0.3" footer="0.3"/>
  <pageSetup paperSize="8" scale="68" orientation="landscape" r:id="rId1"/>
  <colBreaks count="1" manualBreakCount="1">
    <brk id="8" max="32"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決算入力</vt:lpstr>
      <vt:lpstr>決算分析</vt:lpstr>
      <vt:lpstr>メモ</vt:lpstr>
      <vt:lpstr>決算入力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雅俊 室伏</dc:creator>
  <cp:lastModifiedBy>雅俊 室伏</cp:lastModifiedBy>
  <cp:lastPrinted>2026-02-23T07:24:10Z</cp:lastPrinted>
  <dcterms:created xsi:type="dcterms:W3CDTF">2025-03-02T11:23:30Z</dcterms:created>
  <dcterms:modified xsi:type="dcterms:W3CDTF">2026-02-27T10:57:00Z</dcterms:modified>
</cp:coreProperties>
</file>